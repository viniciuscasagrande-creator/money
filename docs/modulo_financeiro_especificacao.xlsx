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Submenus" sheetId="2" state="visible" r:id="rId4"/>
    <sheet name="Pacotes" sheetId="3" state="visible" r:id="rId5"/>
    <sheet name="Perfis" sheetId="4" state="visible" r:id="rId6"/>
    <sheet name="Regras de Arquitetura" sheetId="5" state="visible" r:id="rId7"/>
  </sheets>
  <definedNames>
    <definedName function="false" hidden="true" localSheetId="1" name="_xlnm._FilterDatabase" vbProcedure="false">Submenus!$A$1:$F$173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<sst xmlns="http://schemas.openxmlformats.org/spreadsheetml/2006/main" count="970" uniqueCount="436">
  <si>
    <t xml:space="preserve">Nº</t>
  </si>
  <si>
    <t xml:space="preserve">Menu principal</t>
  </si>
  <si>
    <t xml:space="preserve">Pacote</t>
  </si>
  <si>
    <t xml:space="preserve">Submenus (documento)</t>
  </si>
  <si>
    <t xml:space="preserve">Acréscimos</t>
  </si>
  <si>
    <t xml:space="preserve">Retirados</t>
  </si>
  <si>
    <t xml:space="preserve">Total atual</t>
  </si>
  <si>
    <t xml:space="preserve">Listados</t>
  </si>
  <si>
    <t xml:space="preserve">Conferência</t>
  </si>
  <si>
    <t xml:space="preserve">Dashboard Financeiro</t>
  </si>
  <si>
    <t xml:space="preserve">01 — Fundação</t>
  </si>
  <si>
    <t xml:space="preserve">Gestão de Recebimentos</t>
  </si>
  <si>
    <t xml:space="preserve">Contas a Pagar</t>
  </si>
  <si>
    <t xml:space="preserve">Tesouraria e Bancos</t>
  </si>
  <si>
    <t xml:space="preserve">02 — Operações</t>
  </si>
  <si>
    <t xml:space="preserve">Saldos e Contas Correntes</t>
  </si>
  <si>
    <t xml:space="preserve">Repasses e Antecipações</t>
  </si>
  <si>
    <t xml:space="preserve">Gateways e Meios de Pagamento</t>
  </si>
  <si>
    <t xml:space="preserve">Divisão de Receitas e Taxas</t>
  </si>
  <si>
    <t xml:space="preserve">Conciliação Financeira</t>
  </si>
  <si>
    <t xml:space="preserve">03 — Controle</t>
  </si>
  <si>
    <t xml:space="preserve">Estornos, Chargebacks e Riscos</t>
  </si>
  <si>
    <t xml:space="preserve">Planejamento Financeiro</t>
  </si>
  <si>
    <t xml:space="preserve">Gestão de Contratos</t>
  </si>
  <si>
    <t xml:space="preserve">Contabilidade e Fiscal</t>
  </si>
  <si>
    <t xml:space="preserve">Relatórios e Inteligência</t>
  </si>
  <si>
    <t xml:space="preserve">04 — Inteligência e Governança</t>
  </si>
  <si>
    <t xml:space="preserve">Aprovações Financeiras</t>
  </si>
  <si>
    <t xml:space="preserve">Auditoria e Governança</t>
  </si>
  <si>
    <t xml:space="preserve">Configurações Financeiras</t>
  </si>
  <si>
    <t xml:space="preserve">Total</t>
  </si>
  <si>
    <t xml:space="preserve">Notas: colunas D e F (azul) são entradas. D = contagem do documento original (154). Acréscimos = itens novos sugeridos. Retirado = Permissões e Perfis em Auditoria (duplicidade).</t>
  </si>
  <si>
    <t xml:space="preserve">Código</t>
  </si>
  <si>
    <t xml:space="preserve">Submenu</t>
  </si>
  <si>
    <t xml:space="preserve">Origem</t>
  </si>
  <si>
    <t xml:space="preserve">Observação</t>
  </si>
  <si>
    <t xml:space="preserve">01.01</t>
  </si>
  <si>
    <t xml:space="preserve">Visão Geral Financeira</t>
  </si>
  <si>
    <t xml:space="preserve">Documento</t>
  </si>
  <si>
    <t xml:space="preserve">01.02</t>
  </si>
  <si>
    <t xml:space="preserve">Indicadores de Receitas e Despesas</t>
  </si>
  <si>
    <t xml:space="preserve">01.03</t>
  </si>
  <si>
    <t xml:space="preserve">Posição de Caixa e Bancos</t>
  </si>
  <si>
    <t xml:space="preserve">01.04</t>
  </si>
  <si>
    <t xml:space="preserve">Saldos Consolidados</t>
  </si>
  <si>
    <t xml:space="preserve">01.05</t>
  </si>
  <si>
    <t xml:space="preserve">Previsão de Fluxo de Caixa</t>
  </si>
  <si>
    <t xml:space="preserve">01.06</t>
  </si>
  <si>
    <t xml:space="preserve">Alertas e Pendências</t>
  </si>
  <si>
    <t xml:space="preserve">01.07</t>
  </si>
  <si>
    <t xml:space="preserve">Painel Executivo</t>
  </si>
  <si>
    <t xml:space="preserve">02.01</t>
  </si>
  <si>
    <t xml:space="preserve">Contas a Receber</t>
  </si>
  <si>
    <t xml:space="preserve">02.02</t>
  </si>
  <si>
    <t xml:space="preserve">Recebimentos por Período</t>
  </si>
  <si>
    <t xml:space="preserve">02.03</t>
  </si>
  <si>
    <t xml:space="preserve">Recebimentos por Cliente</t>
  </si>
  <si>
    <t xml:space="preserve">02.04</t>
  </si>
  <si>
    <t xml:space="preserve">Vendas e Transações</t>
  </si>
  <si>
    <t xml:space="preserve">02.05</t>
  </si>
  <si>
    <t xml:space="preserve">Agenda de Recebíveis</t>
  </si>
  <si>
    <t xml:space="preserve">02.06</t>
  </si>
  <si>
    <t xml:space="preserve">Liquidações Financeiras</t>
  </si>
  <si>
    <t xml:space="preserve">02.07</t>
  </si>
  <si>
    <t xml:space="preserve">Cobranças e Inadimplência</t>
  </si>
  <si>
    <t xml:space="preserve">02.08</t>
  </si>
  <si>
    <t xml:space="preserve">Histórico de Recebimentos</t>
  </si>
  <si>
    <t xml:space="preserve">03.01</t>
  </si>
  <si>
    <t xml:space="preserve">Contas a Pagar em Aberto</t>
  </si>
  <si>
    <t xml:space="preserve">Proposta</t>
  </si>
  <si>
    <t xml:space="preserve">Renomeado (antes: Contas a Pagar)</t>
  </si>
  <si>
    <t xml:space="preserve">03.02</t>
  </si>
  <si>
    <t xml:space="preserve">Lançamento de Despesas</t>
  </si>
  <si>
    <t xml:space="preserve">03.03</t>
  </si>
  <si>
    <t xml:space="preserve">Agenda de Pagamentos</t>
  </si>
  <si>
    <t xml:space="preserve">03.04</t>
  </si>
  <si>
    <t xml:space="preserve">Pagamentos por Fornecedor</t>
  </si>
  <si>
    <t xml:space="preserve">03.05</t>
  </si>
  <si>
    <t xml:space="preserve">Pagamentos em Lote</t>
  </si>
  <si>
    <t xml:space="preserve">03.06</t>
  </si>
  <si>
    <t xml:space="preserve">Despesas Recorrentes</t>
  </si>
  <si>
    <t xml:space="preserve">03.07</t>
  </si>
  <si>
    <t xml:space="preserve">Cadastro de Fornecedores</t>
  </si>
  <si>
    <t xml:space="preserve">03.08</t>
  </si>
  <si>
    <t xml:space="preserve">Histórico de Pagamentos</t>
  </si>
  <si>
    <t xml:space="preserve">04.01</t>
  </si>
  <si>
    <t xml:space="preserve">Dashboard de Tesouraria</t>
  </si>
  <si>
    <t xml:space="preserve">04.02</t>
  </si>
  <si>
    <t xml:space="preserve">Contas Bancárias</t>
  </si>
  <si>
    <t xml:space="preserve">04.03</t>
  </si>
  <si>
    <t xml:space="preserve">Saldos e Extratos</t>
  </si>
  <si>
    <t xml:space="preserve">04.04</t>
  </si>
  <si>
    <t xml:space="preserve">Movimentações Financeiras</t>
  </si>
  <si>
    <t xml:space="preserve">04.05</t>
  </si>
  <si>
    <t xml:space="preserve">Transferências Bancárias</t>
  </si>
  <si>
    <t xml:space="preserve">04.06</t>
  </si>
  <si>
    <t xml:space="preserve">PIX e Chaves</t>
  </si>
  <si>
    <t xml:space="preserve">04.07</t>
  </si>
  <si>
    <t xml:space="preserve">Remessas e Retornos CNAB</t>
  </si>
  <si>
    <t xml:space="preserve">04.08</t>
  </si>
  <si>
    <t xml:space="preserve">Projeção de Caixa</t>
  </si>
  <si>
    <t xml:space="preserve">04.09</t>
  </si>
  <si>
    <t xml:space="preserve">Gestão de Aplicações Financeiras</t>
  </si>
  <si>
    <t xml:space="preserve">04.10</t>
  </si>
  <si>
    <t xml:space="preserve">Fechamento de Caixa (PDV)</t>
  </si>
  <si>
    <t xml:space="preserve">Acréscimo</t>
  </si>
  <si>
    <t xml:space="preserve">04.11</t>
  </si>
  <si>
    <t xml:space="preserve">Sangria e Suprimento</t>
  </si>
  <si>
    <t xml:space="preserve">04.12</t>
  </si>
  <si>
    <t xml:space="preserve">Conferência por Operador</t>
  </si>
  <si>
    <t xml:space="preserve">05.01</t>
  </si>
  <si>
    <t xml:space="preserve">Saldos por Produtor</t>
  </si>
  <si>
    <t xml:space="preserve">05.02</t>
  </si>
  <si>
    <t xml:space="preserve">Saldos por Evento</t>
  </si>
  <si>
    <t xml:space="preserve">05.03</t>
  </si>
  <si>
    <t xml:space="preserve">Conta Corrente do Produtor</t>
  </si>
  <si>
    <t xml:space="preserve">05.04</t>
  </si>
  <si>
    <t xml:space="preserve">Saldo Disponível</t>
  </si>
  <si>
    <t xml:space="preserve">05.05</t>
  </si>
  <si>
    <t xml:space="preserve">Saldo a Liberar</t>
  </si>
  <si>
    <t xml:space="preserve">05.06</t>
  </si>
  <si>
    <t xml:space="preserve">Saldo Bloqueado</t>
  </si>
  <si>
    <t xml:space="preserve">05.07</t>
  </si>
  <si>
    <t xml:space="preserve">Extrato de Movimentações</t>
  </si>
  <si>
    <t xml:space="preserve">05.08</t>
  </si>
  <si>
    <t xml:space="preserve">Ajustes e Lançamentos Compensatórios</t>
  </si>
  <si>
    <t xml:space="preserve">05.09</t>
  </si>
  <si>
    <t xml:space="preserve">Dados Bancários e Validação de Titularidade</t>
  </si>
  <si>
    <t xml:space="preserve">05.10</t>
  </si>
  <si>
    <t xml:space="preserve">Aprovação de Alteração de Conta Bancária</t>
  </si>
  <si>
    <t xml:space="preserve">05.11</t>
  </si>
  <si>
    <t xml:space="preserve">Documentos e Análise Cadastral</t>
  </si>
  <si>
    <t xml:space="preserve">06.01</t>
  </si>
  <si>
    <t xml:space="preserve">Solicitações de Repasse</t>
  </si>
  <si>
    <t xml:space="preserve">06.02</t>
  </si>
  <si>
    <t xml:space="preserve">Repasses Programados</t>
  </si>
  <si>
    <t xml:space="preserve">06.03</t>
  </si>
  <si>
    <t xml:space="preserve">Repasses Automáticos</t>
  </si>
  <si>
    <t xml:space="preserve">06.04</t>
  </si>
  <si>
    <t xml:space="preserve">Fila de Execução</t>
  </si>
  <si>
    <t xml:space="preserve">06.05</t>
  </si>
  <si>
    <t xml:space="preserve">Repasses Realizados</t>
  </si>
  <si>
    <t xml:space="preserve">06.06</t>
  </si>
  <si>
    <t xml:space="preserve">Repasses com Falha</t>
  </si>
  <si>
    <t xml:space="preserve">06.07</t>
  </si>
  <si>
    <t xml:space="preserve">Solicitações de Antecipação</t>
  </si>
  <si>
    <t xml:space="preserve">06.08</t>
  </si>
  <si>
    <t xml:space="preserve">Simulador de Antecipação</t>
  </si>
  <si>
    <t xml:space="preserve">06.09</t>
  </si>
  <si>
    <t xml:space="preserve">Taxas e Custos de Antecipação</t>
  </si>
  <si>
    <t xml:space="preserve">06.10</t>
  </si>
  <si>
    <t xml:space="preserve">Comprovantes e Demonstrativos</t>
  </si>
  <si>
    <t xml:space="preserve">06.11</t>
  </si>
  <si>
    <t xml:space="preserve">Acerto Final de Evento</t>
  </si>
  <si>
    <t xml:space="preserve">06.12</t>
  </si>
  <si>
    <t xml:space="preserve">Prestação de Contas do Evento</t>
  </si>
  <si>
    <t xml:space="preserve">06.13</t>
  </si>
  <si>
    <t xml:space="preserve">Reserva de Garantia por Evento</t>
  </si>
  <si>
    <t xml:space="preserve">07.01</t>
  </si>
  <si>
    <t xml:space="preserve">Gateways Cadastrados</t>
  </si>
  <si>
    <t xml:space="preserve">07.02</t>
  </si>
  <si>
    <t xml:space="preserve">Meios de Pagamento</t>
  </si>
  <si>
    <t xml:space="preserve">07.03</t>
  </si>
  <si>
    <t xml:space="preserve">Cartão de Crédito e Débito</t>
  </si>
  <si>
    <t xml:space="preserve">07.04</t>
  </si>
  <si>
    <t xml:space="preserve">PIX</t>
  </si>
  <si>
    <t xml:space="preserve">07.05</t>
  </si>
  <si>
    <t xml:space="preserve">Boleto</t>
  </si>
  <si>
    <t xml:space="preserve">07.06</t>
  </si>
  <si>
    <t xml:space="preserve">Carteiras Digitais</t>
  </si>
  <si>
    <t xml:space="preserve">07.07</t>
  </si>
  <si>
    <t xml:space="preserve">Tarifas por Meio de Pagamento</t>
  </si>
  <si>
    <t xml:space="preserve">07.08</t>
  </si>
  <si>
    <t xml:space="preserve">Prazos de Liquidação</t>
  </si>
  <si>
    <t xml:space="preserve">07.09</t>
  </si>
  <si>
    <t xml:space="preserve">Webhooks e Integrações</t>
  </si>
  <si>
    <t xml:space="preserve">07.10</t>
  </si>
  <si>
    <t xml:space="preserve">Monitor de Transações</t>
  </si>
  <si>
    <t xml:space="preserve">08.01</t>
  </si>
  <si>
    <t xml:space="preserve">Regras de Divisão</t>
  </si>
  <si>
    <t xml:space="preserve">08.02</t>
  </si>
  <si>
    <t xml:space="preserve">Taxa de Serviço</t>
  </si>
  <si>
    <t xml:space="preserve">08.03</t>
  </si>
  <si>
    <t xml:space="preserve">Taxa de Conveniência</t>
  </si>
  <si>
    <t xml:space="preserve">08.04</t>
  </si>
  <si>
    <t xml:space="preserve">Taxas por Evento</t>
  </si>
  <si>
    <t xml:space="preserve">08.05</t>
  </si>
  <si>
    <t xml:space="preserve">Taxas por Produtor</t>
  </si>
  <si>
    <t xml:space="preserve">08.06</t>
  </si>
  <si>
    <t xml:space="preserve">Split de Pagamentos</t>
  </si>
  <si>
    <t xml:space="preserve">08.07</t>
  </si>
  <si>
    <t xml:space="preserve">Custos de Gateway</t>
  </si>
  <si>
    <t xml:space="preserve">08.08</t>
  </si>
  <si>
    <t xml:space="preserve">Receita Própria da Plataforma</t>
  </si>
  <si>
    <t xml:space="preserve">08.09</t>
  </si>
  <si>
    <t xml:space="preserve">Simulador de Taxas</t>
  </si>
  <si>
    <t xml:space="preserve">08.10</t>
  </si>
  <si>
    <t xml:space="preserve">Cortesias e Ingressos Gratuitos</t>
  </si>
  <si>
    <t xml:space="preserve">08.11</t>
  </si>
  <si>
    <t xml:space="preserve">Cupons e Descontos</t>
  </si>
  <si>
    <t xml:space="preserve">08.12</t>
  </si>
  <si>
    <t xml:space="preserve">Custo de Promoções</t>
  </si>
  <si>
    <t xml:space="preserve">08.13</t>
  </si>
  <si>
    <t xml:space="preserve">Comissões e Afiliados</t>
  </si>
  <si>
    <t xml:space="preserve">09.01</t>
  </si>
  <si>
    <t xml:space="preserve">Painel de Conciliação</t>
  </si>
  <si>
    <t xml:space="preserve">09.02</t>
  </si>
  <si>
    <t xml:space="preserve">Conciliação Bancária</t>
  </si>
  <si>
    <t xml:space="preserve">09.03</t>
  </si>
  <si>
    <t xml:space="preserve">Conciliação de Gateways</t>
  </si>
  <si>
    <t xml:space="preserve">09.04</t>
  </si>
  <si>
    <t xml:space="preserve">Conciliação de Vendas</t>
  </si>
  <si>
    <t xml:space="preserve">09.05</t>
  </si>
  <si>
    <t xml:space="preserve">Importação de Extratos</t>
  </si>
  <si>
    <t xml:space="preserve">09.06</t>
  </si>
  <si>
    <t xml:space="preserve">Conciliação Automática</t>
  </si>
  <si>
    <t xml:space="preserve">09.07</t>
  </si>
  <si>
    <t xml:space="preserve">Conciliação Manual</t>
  </si>
  <si>
    <t xml:space="preserve">09.08</t>
  </si>
  <si>
    <t xml:space="preserve">Divergências</t>
  </si>
  <si>
    <t xml:space="preserve">09.09</t>
  </si>
  <si>
    <t xml:space="preserve">Pendências</t>
  </si>
  <si>
    <t xml:space="preserve">09.10</t>
  </si>
  <si>
    <t xml:space="preserve">Histórico de Conciliações</t>
  </si>
  <si>
    <t xml:space="preserve">10.01</t>
  </si>
  <si>
    <t xml:space="preserve">Solicitações de Estorno</t>
  </si>
  <si>
    <t xml:space="preserve">10.02</t>
  </si>
  <si>
    <t xml:space="preserve">Estornos Processados</t>
  </si>
  <si>
    <t xml:space="preserve">10.03</t>
  </si>
  <si>
    <t xml:space="preserve">Cancelamentos de Pedidos</t>
  </si>
  <si>
    <t xml:space="preserve">10.04</t>
  </si>
  <si>
    <t xml:space="preserve">Chargebacks</t>
  </si>
  <si>
    <t xml:space="preserve">10.05</t>
  </si>
  <si>
    <t xml:space="preserve">Contestações e Defesas</t>
  </si>
  <si>
    <t xml:space="preserve">10.06</t>
  </si>
  <si>
    <t xml:space="preserve">Retenções Preventivas</t>
  </si>
  <si>
    <t xml:space="preserve">10.07</t>
  </si>
  <si>
    <t xml:space="preserve">Análise de Risco e Fraude</t>
  </si>
  <si>
    <t xml:space="preserve">10.08</t>
  </si>
  <si>
    <t xml:space="preserve">Saldo Negativo de Produtores</t>
  </si>
  <si>
    <t xml:space="preserve">10.09</t>
  </si>
  <si>
    <t xml:space="preserve">Indicadores de Risco</t>
  </si>
  <si>
    <t xml:space="preserve">10.10</t>
  </si>
  <si>
    <t xml:space="preserve">Cancelamento de Evento (reembolso em lote)</t>
  </si>
  <si>
    <t xml:space="preserve">10.11</t>
  </si>
  <si>
    <t xml:space="preserve">Adiamento e Remarcação</t>
  </si>
  <si>
    <t xml:space="preserve">10.12</t>
  </si>
  <si>
    <t xml:space="preserve">Cobrança de Saldo Negativo</t>
  </si>
  <si>
    <t xml:space="preserve">11.01</t>
  </si>
  <si>
    <t xml:space="preserve">Orçamento Anual</t>
  </si>
  <si>
    <t xml:space="preserve">11.02</t>
  </si>
  <si>
    <t xml:space="preserve">Orçamento por Evento</t>
  </si>
  <si>
    <t xml:space="preserve">11.03</t>
  </si>
  <si>
    <t xml:space="preserve">Previsto x Realizado</t>
  </si>
  <si>
    <t xml:space="preserve">11.04</t>
  </si>
  <si>
    <t xml:space="preserve">Fluxo de Caixa Projetado</t>
  </si>
  <si>
    <t xml:space="preserve">11.05</t>
  </si>
  <si>
    <t xml:space="preserve">Metas Financeiras</t>
  </si>
  <si>
    <t xml:space="preserve">11.06</t>
  </si>
  <si>
    <t xml:space="preserve">Cenários e Simulações</t>
  </si>
  <si>
    <t xml:space="preserve">11.07</t>
  </si>
  <si>
    <t xml:space="preserve">Centros de Custo</t>
  </si>
  <si>
    <t xml:space="preserve">11.08</t>
  </si>
  <si>
    <t xml:space="preserve">Plano de Contas Gerencial</t>
  </si>
  <si>
    <t xml:space="preserve">11.09</t>
  </si>
  <si>
    <t xml:space="preserve">Rentabilidade por Evento</t>
  </si>
  <si>
    <t xml:space="preserve">12.01</t>
  </si>
  <si>
    <t xml:space="preserve">Contratos de Produtores</t>
  </si>
  <si>
    <t xml:space="preserve">12.02</t>
  </si>
  <si>
    <t xml:space="preserve">Contratos de Fornecedores</t>
  </si>
  <si>
    <t xml:space="preserve">12.03</t>
  </si>
  <si>
    <t xml:space="preserve">Contratos com Gateways e Bancos</t>
  </si>
  <si>
    <t xml:space="preserve">12.04</t>
  </si>
  <si>
    <t xml:space="preserve">Modelos de Contrato</t>
  </si>
  <si>
    <t xml:space="preserve">12.05</t>
  </si>
  <si>
    <t xml:space="preserve">Vigências e Renovações</t>
  </si>
  <si>
    <t xml:space="preserve">12.06</t>
  </si>
  <si>
    <t xml:space="preserve">Aditivos</t>
  </si>
  <si>
    <t xml:space="preserve">12.07</t>
  </si>
  <si>
    <t xml:space="preserve">Assinaturas Eletrônicas</t>
  </si>
  <si>
    <t xml:space="preserve">12.08</t>
  </si>
  <si>
    <t xml:space="preserve">Alertas de Vencimento</t>
  </si>
  <si>
    <t xml:space="preserve">13.01</t>
  </si>
  <si>
    <t xml:space="preserve">Plano de Contas</t>
  </si>
  <si>
    <t xml:space="preserve">13.02</t>
  </si>
  <si>
    <t xml:space="preserve">Lançamentos Contábeis</t>
  </si>
  <si>
    <t xml:space="preserve">13.03</t>
  </si>
  <si>
    <t xml:space="preserve">Classificação de Receitas e Despesas</t>
  </si>
  <si>
    <t xml:space="preserve">13.04</t>
  </si>
  <si>
    <t xml:space="preserve">Notas Fiscais Emitidas</t>
  </si>
  <si>
    <t xml:space="preserve">13.05</t>
  </si>
  <si>
    <t xml:space="preserve">Notas Fiscais Recebidas</t>
  </si>
  <si>
    <t xml:space="preserve">13.06</t>
  </si>
  <si>
    <t xml:space="preserve">Retenções de Impostos</t>
  </si>
  <si>
    <t xml:space="preserve">13.07</t>
  </si>
  <si>
    <t xml:space="preserve">Apuração de Impostos</t>
  </si>
  <si>
    <t xml:space="preserve">13.08</t>
  </si>
  <si>
    <t xml:space="preserve">Fechamento Contábil</t>
  </si>
  <si>
    <t xml:space="preserve">13.09</t>
  </si>
  <si>
    <t xml:space="preserve">Demonstrativos Contábeis</t>
  </si>
  <si>
    <t xml:space="preserve">13.10</t>
  </si>
  <si>
    <t xml:space="preserve">Exportação Contábil</t>
  </si>
  <si>
    <t xml:space="preserve">13.11</t>
  </si>
  <si>
    <t xml:space="preserve">Nota Fiscal sobre a Taxa de Serviço</t>
  </si>
  <si>
    <t xml:space="preserve">13.12</t>
  </si>
  <si>
    <t xml:space="preserve">Informes e Declarações aos Produtores</t>
  </si>
  <si>
    <t xml:space="preserve">13.13</t>
  </si>
  <si>
    <t xml:space="preserve">Retenções Fiscais sobre Repasses</t>
  </si>
  <si>
    <t xml:space="preserve">14.01</t>
  </si>
  <si>
    <t xml:space="preserve">Central de Relatórios</t>
  </si>
  <si>
    <t xml:space="preserve">14.02</t>
  </si>
  <si>
    <t xml:space="preserve">DRE</t>
  </si>
  <si>
    <t xml:space="preserve">14.03</t>
  </si>
  <si>
    <t xml:space="preserve">Fluxo de Caixa Realizado</t>
  </si>
  <si>
    <t xml:space="preserve">14.04</t>
  </si>
  <si>
    <t xml:space="preserve">Vendas por Evento</t>
  </si>
  <si>
    <t xml:space="preserve">14.05</t>
  </si>
  <si>
    <t xml:space="preserve">Receita por Produtor</t>
  </si>
  <si>
    <t xml:space="preserve">14.06</t>
  </si>
  <si>
    <t xml:space="preserve">Taxas e Receita Própria</t>
  </si>
  <si>
    <t xml:space="preserve">14.07</t>
  </si>
  <si>
    <t xml:space="preserve">14.08</t>
  </si>
  <si>
    <t xml:space="preserve">Inadimplência</t>
  </si>
  <si>
    <t xml:space="preserve">14.09</t>
  </si>
  <si>
    <t xml:space="preserve">Indicadores (KPIs)</t>
  </si>
  <si>
    <t xml:space="preserve">14.10</t>
  </si>
  <si>
    <t xml:space="preserve">Relatórios Agendados</t>
  </si>
  <si>
    <t xml:space="preserve">14.11</t>
  </si>
  <si>
    <t xml:space="preserve">Exportações</t>
  </si>
  <si>
    <t xml:space="preserve">15.01</t>
  </si>
  <si>
    <t xml:space="preserve">Caixa de Aprovações</t>
  </si>
  <si>
    <t xml:space="preserve">15.02</t>
  </si>
  <si>
    <t xml:space="preserve">Minhas Aprovações</t>
  </si>
  <si>
    <t xml:space="preserve">15.03</t>
  </si>
  <si>
    <t xml:space="preserve">Aprovação de Pagamentos</t>
  </si>
  <si>
    <t xml:space="preserve">15.04</t>
  </si>
  <si>
    <t xml:space="preserve">Aprovação de Repasses</t>
  </si>
  <si>
    <t xml:space="preserve">15.05</t>
  </si>
  <si>
    <t xml:space="preserve">Aprovação de Antecipações</t>
  </si>
  <si>
    <t xml:space="preserve">15.06</t>
  </si>
  <si>
    <t xml:space="preserve">Regras de Alçada</t>
  </si>
  <si>
    <t xml:space="preserve">15.07</t>
  </si>
  <si>
    <t xml:space="preserve">Delegações</t>
  </si>
  <si>
    <t xml:space="preserve">15.08</t>
  </si>
  <si>
    <t xml:space="preserve">Histórico de Aprovações</t>
  </si>
  <si>
    <t xml:space="preserve">16.01</t>
  </si>
  <si>
    <t xml:space="preserve">Log de Atividades</t>
  </si>
  <si>
    <t xml:space="preserve">Removido: Permissões e Perfis (mantido em 17 – Configurações)</t>
  </si>
  <si>
    <t xml:space="preserve">16.02</t>
  </si>
  <si>
    <t xml:space="preserve">Trilha de Auditoria Financeira</t>
  </si>
  <si>
    <t xml:space="preserve">16.03</t>
  </si>
  <si>
    <t xml:space="preserve">Histórico de Alterações</t>
  </si>
  <si>
    <t xml:space="preserve">16.04</t>
  </si>
  <si>
    <t xml:space="preserve">Acessos e Sessões</t>
  </si>
  <si>
    <t xml:space="preserve">16.05</t>
  </si>
  <si>
    <t xml:space="preserve">Evidências e Anexos</t>
  </si>
  <si>
    <t xml:space="preserve">16.06</t>
  </si>
  <si>
    <t xml:space="preserve">Alertas de Anomalias</t>
  </si>
  <si>
    <t xml:space="preserve">16.07</t>
  </si>
  <si>
    <t xml:space="preserve">Revisão de Acessos</t>
  </si>
  <si>
    <t xml:space="preserve">16.08</t>
  </si>
  <si>
    <t xml:space="preserve">Políticas de Conformidade</t>
  </si>
  <si>
    <t xml:space="preserve">16.09</t>
  </si>
  <si>
    <t xml:space="preserve">Relatórios de Auditoria</t>
  </si>
  <si>
    <t xml:space="preserve">17.01</t>
  </si>
  <si>
    <t xml:space="preserve">Parâmetros Gerais</t>
  </si>
  <si>
    <t xml:space="preserve">17.02</t>
  </si>
  <si>
    <t xml:space="preserve">Contas e Bancos Padrão</t>
  </si>
  <si>
    <t xml:space="preserve">17.03</t>
  </si>
  <si>
    <t xml:space="preserve">Categorias Financeiras</t>
  </si>
  <si>
    <t xml:space="preserve">17.04</t>
  </si>
  <si>
    <t xml:space="preserve">Moedas e Câmbio</t>
  </si>
  <si>
    <t xml:space="preserve">17.05</t>
  </si>
  <si>
    <t xml:space="preserve">Calendário e Dias Úteis</t>
  </si>
  <si>
    <t xml:space="preserve">17.06</t>
  </si>
  <si>
    <t xml:space="preserve">Regras de Liquidação</t>
  </si>
  <si>
    <t xml:space="preserve">17.07</t>
  </si>
  <si>
    <t xml:space="preserve">Modelos de Notificação</t>
  </si>
  <si>
    <t xml:space="preserve">17.08</t>
  </si>
  <si>
    <t xml:space="preserve">Integrações e APIs</t>
  </si>
  <si>
    <t xml:space="preserve">17.09</t>
  </si>
  <si>
    <t xml:space="preserve">Perfis e Permissões</t>
  </si>
  <si>
    <t xml:space="preserve">17.10</t>
  </si>
  <si>
    <t xml:space="preserve">Automações</t>
  </si>
  <si>
    <t xml:space="preserve">Escopo</t>
  </si>
  <si>
    <t xml:space="preserve">Menus incluídos</t>
  </si>
  <si>
    <t xml:space="preserve">Dashboard, núcleo financeiro, contas, recebimentos, pagamentos, saldos (incluindo cadastro bancário do produtor) e permissões</t>
  </si>
  <si>
    <t xml:space="preserve">01, 02, 03, 05</t>
  </si>
  <si>
    <t xml:space="preserve">Tesouraria (incluindo PDV), gateways, taxas e promoções, repasses, acerto de evento, antecipações, aprovações e assinaturas</t>
  </si>
  <si>
    <t xml:space="preserve">04, 06, 07, 08, 15</t>
  </si>
  <si>
    <t xml:space="preserve">Conciliações, estornos, cancelamento de evento, chargebacks, contratos, planejamento e integração contábil/fiscal</t>
  </si>
  <si>
    <t xml:space="preserve">09, 10, 11, 12, 13</t>
  </si>
  <si>
    <t xml:space="preserve">Relatórios, indicadores, auditoria, logs, automações e configurações</t>
  </si>
  <si>
    <t xml:space="preserve">14, 16, 17</t>
  </si>
  <si>
    <t xml:space="preserve">Observação: o documento não mapeia menus a pacotes; a distribuição é uma sugestão a partir do escopo descrito.</t>
  </si>
  <si>
    <t xml:space="preserve">Perfil</t>
  </si>
  <si>
    <t xml:space="preserve">Visão e acesso</t>
  </si>
  <si>
    <t xml:space="preserve">Administrador</t>
  </si>
  <si>
    <t xml:space="preserve">Todos os menus, gestão de permissões e auditoria</t>
  </si>
  <si>
    <t xml:space="preserve">Financeiro interno</t>
  </si>
  <si>
    <t xml:space="preserve">Visão consolidada, repasses, recebimentos, taxas, aprovações e relatórios</t>
  </si>
  <si>
    <t xml:space="preserve">Tesouraria</t>
  </si>
  <si>
    <t xml:space="preserve">Bancos, caixa, conciliações e pagamentos autorizados</t>
  </si>
  <si>
    <t xml:space="preserve">Contabilidade</t>
  </si>
  <si>
    <t xml:space="preserve">Classificações, fechamento, demonstrativos e integração fiscal</t>
  </si>
  <si>
    <t xml:space="preserve">Produtor ou parceiro</t>
  </si>
  <si>
    <t xml:space="preserve">Apenas seus saldos, solicitações, demonstrativos e operações autorizadas</t>
  </si>
  <si>
    <t xml:space="preserve">Auditor</t>
  </si>
  <si>
    <t xml:space="preserve">Consulta de históricos, operações, evidências e logs, sem execução financeira</t>
  </si>
  <si>
    <t xml:space="preserve">Regra</t>
  </si>
  <si>
    <t xml:space="preserve">Descrição</t>
  </si>
  <si>
    <t xml:space="preserve">Menus relacionados</t>
  </si>
  <si>
    <t xml:space="preserve">Razão de dupla entrada, imutável</t>
  </si>
  <si>
    <t xml:space="preserve">Todo lançamento tem débito e crédito. Erros são corrigidos por lançamento reverso, nunca por edição ou exclusão.</t>
  </si>
  <si>
    <t xml:space="preserve">05, 09, 13, 16</t>
  </si>
  <si>
    <t xml:space="preserve">Idempotência</t>
  </si>
  <si>
    <t xml:space="preserve">Webhooks, cobranças e repasses usam chave única para que o mesmo evento não seja processado duas vezes.</t>
  </si>
  <si>
    <t xml:space="preserve">06, 07, 09</t>
  </si>
  <si>
    <t xml:space="preserve">Segregação de funções</t>
  </si>
  <si>
    <t xml:space="preserve">Quem cria um repasse, pagamento ou antecipação não pode aprová-lo nem executá-lo.</t>
  </si>
  <si>
    <t xml:space="preserve">15, 16, 17</t>
  </si>
  <si>
    <t xml:space="preserve">Segurança em operações sensíveis</t>
  </si>
  <si>
    <t xml:space="preserve">Autenticação em dois fatores para repasses e trava temporária de saques após troca de conta bancária.</t>
  </si>
  <si>
    <t xml:space="preserve">05, 06, 16</t>
  </si>
  <si>
    <t xml:space="preserve">Fechamento de período</t>
  </si>
  <si>
    <t xml:space="preserve">Após o fechamento, lançamentos em meses encerrados ficam bloqueados; correções entram no período aberto.</t>
  </si>
  <si>
    <t xml:space="preserve">13, 17</t>
  </si>
  <si>
    <t xml:space="preserve">Saldo ligado ao status do evento</t>
  </si>
  <si>
    <t xml:space="preserve">O saldo só é liberado conforme a regra do evento (por exemplo, após sua realização), com reserva de garantia quando aplicável.</t>
  </si>
  <si>
    <t xml:space="preserve">05, 06, 10</t>
  </si>
  <si>
    <t xml:space="preserve">Separação receita x recursos de terceiros</t>
  </si>
  <si>
    <t xml:space="preserve">Distinguir faturamento, valores recebidos, valores a repassar, taxas e receita própria. Saldo bancário não é lucro.</t>
  </si>
  <si>
    <t xml:space="preserve">05, 08, 14</t>
  </si>
  <si>
    <t xml:space="preserve">Permissões também nas APIs</t>
  </si>
  <si>
    <t xml:space="preserve">Restrições por perfil valem nas telas, nas APIs e nas consultas de dados.</t>
  </si>
  <si>
    <t xml:space="preserve">16, 17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</si>
</sst>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2F8"/>
        <bgColor rgb="FFE2F0D9"/>
      </patternFill>
    </fill>
    <fill>
      <patternFill patternType="solid">
        <fgColor rgb="FFE2F0D9"/>
        <bgColor rgb="FFEE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EEF2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3" t="s">
        <v>9</v>
      </c>
      <c r="C2" s="3" t="s">
        <v>10</v>
      </c>
      <c r="D2" s="4" t="n">
        <v>7</v>
      </c>
      <c r="E2" s="2" t="n">
        <f aca="false">COUNTIFS(Submenus!$B:$B,B2,Submenus!$E:$E,"Acréscimo")</f>
        <v>0</v>
      </c>
      <c r="F2" s="4" t="n">
        <v>0</v>
      </c>
      <c r="G2" s="2" t="n">
        <f aca="false">D2+E2-F2</f>
        <v>7</v>
      </c>
      <c r="H2" s="2" t="n">
        <f aca="false">COUNTIF(Submenus!$B:$B,B2)</f>
        <v>7</v>
      </c>
      <c r="I2" s="2" t="str">
        <f aca="false">IF(G2=H2,"OK","DIVERGENTE")</f>
        <v>OK</v>
      </c>
    </row>
    <row r="3" customFormat="false" ht="15" hidden="false" customHeight="false" outlineLevel="0" collapsed="false">
      <c r="A3" s="5" t="n">
        <v>2</v>
      </c>
      <c r="B3" s="6" t="s">
        <v>11</v>
      </c>
      <c r="C3" s="6" t="s">
        <v>10</v>
      </c>
      <c r="D3" s="7" t="n">
        <v>8</v>
      </c>
      <c r="E3" s="5" t="n">
        <f aca="false">COUNTIFS(Submenus!$B:$B,B3,Submenus!$E:$E,"Acréscimo")</f>
        <v>0</v>
      </c>
      <c r="F3" s="7" t="n">
        <v>0</v>
      </c>
      <c r="G3" s="5" t="n">
        <f aca="false">D3+E3-F3</f>
        <v>8</v>
      </c>
      <c r="H3" s="5" t="n">
        <f aca="false">COUNTIF(Submenus!$B:$B,B3)</f>
        <v>8</v>
      </c>
      <c r="I3" s="5" t="str">
        <f aca="false">IF(G3=H3,"OK","DIVERGENTE")</f>
        <v>OK</v>
      </c>
    </row>
    <row r="4" customFormat="false" ht="15" hidden="false" customHeight="false" outlineLevel="0" collapsed="false">
      <c r="A4" s="2" t="n">
        <v>3</v>
      </c>
      <c r="B4" s="3" t="s">
        <v>12</v>
      </c>
      <c r="C4" s="3" t="s">
        <v>10</v>
      </c>
      <c r="D4" s="4" t="n">
        <v>8</v>
      </c>
      <c r="E4" s="2" t="n">
        <f aca="false">COUNTIFS(Submenus!$B:$B,B4,Submenus!$E:$E,"Acréscimo")</f>
        <v>0</v>
      </c>
      <c r="F4" s="4" t="n">
        <v>0</v>
      </c>
      <c r="G4" s="2" t="n">
        <f aca="false">D4+E4-F4</f>
        <v>8</v>
      </c>
      <c r="H4" s="2" t="n">
        <f aca="false">COUNTIF(Submenus!$B:$B,B4)</f>
        <v>8</v>
      </c>
      <c r="I4" s="2" t="str">
        <f aca="false">IF(G4=H4,"OK","DIVERGENTE")</f>
        <v>OK</v>
      </c>
    </row>
    <row r="5" customFormat="false" ht="15" hidden="false" customHeight="false" outlineLevel="0" collapsed="false">
      <c r="A5" s="5" t="n">
        <v>4</v>
      </c>
      <c r="B5" s="6" t="s">
        <v>13</v>
      </c>
      <c r="C5" s="6" t="s">
        <v>14</v>
      </c>
      <c r="D5" s="7" t="n">
        <v>9</v>
      </c>
      <c r="E5" s="5" t="n">
        <f aca="false">COUNTIFS(Submenus!$B:$B,B5,Submenus!$E:$E,"Acréscimo")</f>
        <v>3</v>
      </c>
      <c r="F5" s="7" t="n">
        <v>0</v>
      </c>
      <c r="G5" s="5" t="n">
        <f aca="false">D5+E5-F5</f>
        <v>12</v>
      </c>
      <c r="H5" s="5" t="n">
        <f aca="false">COUNTIF(Submenus!$B:$B,B5)</f>
        <v>12</v>
      </c>
      <c r="I5" s="5" t="str">
        <f aca="false">IF(G5=H5,"OK","DIVERGENTE")</f>
        <v>OK</v>
      </c>
    </row>
    <row r="6" customFormat="false" ht="15" hidden="false" customHeight="false" outlineLevel="0" collapsed="false">
      <c r="A6" s="2" t="n">
        <v>5</v>
      </c>
      <c r="B6" s="3" t="s">
        <v>15</v>
      </c>
      <c r="C6" s="3" t="s">
        <v>10</v>
      </c>
      <c r="D6" s="4" t="n">
        <v>8</v>
      </c>
      <c r="E6" s="2" t="n">
        <f aca="false">COUNTIFS(Submenus!$B:$B,B6,Submenus!$E:$E,"Acréscimo")</f>
        <v>3</v>
      </c>
      <c r="F6" s="4" t="n">
        <v>0</v>
      </c>
      <c r="G6" s="2" t="n">
        <f aca="false">D6+E6-F6</f>
        <v>11</v>
      </c>
      <c r="H6" s="2" t="n">
        <f aca="false">COUNTIF(Submenus!$B:$B,B6)</f>
        <v>11</v>
      </c>
      <c r="I6" s="2" t="str">
        <f aca="false">IF(G6=H6,"OK","DIVERGENTE")</f>
        <v>OK</v>
      </c>
    </row>
    <row r="7" customFormat="false" ht="15" hidden="false" customHeight="false" outlineLevel="0" collapsed="false">
      <c r="A7" s="5" t="n">
        <v>6</v>
      </c>
      <c r="B7" s="6" t="s">
        <v>16</v>
      </c>
      <c r="C7" s="6" t="s">
        <v>14</v>
      </c>
      <c r="D7" s="7" t="n">
        <v>10</v>
      </c>
      <c r="E7" s="5" t="n">
        <f aca="false">COUNTIFS(Submenus!$B:$B,B7,Submenus!$E:$E,"Acréscimo")</f>
        <v>3</v>
      </c>
      <c r="F7" s="7" t="n">
        <v>0</v>
      </c>
      <c r="G7" s="5" t="n">
        <f aca="false">D7+E7-F7</f>
        <v>13</v>
      </c>
      <c r="H7" s="5" t="n">
        <f aca="false">COUNTIF(Submenus!$B:$B,B7)</f>
        <v>13</v>
      </c>
      <c r="I7" s="5" t="str">
        <f aca="false">IF(G7=H7,"OK","DIVERGENTE")</f>
        <v>OK</v>
      </c>
    </row>
    <row r="8" customFormat="false" ht="15" hidden="false" customHeight="false" outlineLevel="0" collapsed="false">
      <c r="A8" s="2" t="n">
        <v>7</v>
      </c>
      <c r="B8" s="3" t="s">
        <v>17</v>
      </c>
      <c r="C8" s="3" t="s">
        <v>14</v>
      </c>
      <c r="D8" s="4" t="n">
        <v>10</v>
      </c>
      <c r="E8" s="2" t="n">
        <f aca="false">COUNTIFS(Submenus!$B:$B,B8,Submenus!$E:$E,"Acréscimo")</f>
        <v>0</v>
      </c>
      <c r="F8" s="4" t="n">
        <v>0</v>
      </c>
      <c r="G8" s="2" t="n">
        <f aca="false">D8+E8-F8</f>
        <v>10</v>
      </c>
      <c r="H8" s="2" t="n">
        <f aca="false">COUNTIF(Submenus!$B:$B,B8)</f>
        <v>10</v>
      </c>
      <c r="I8" s="2" t="str">
        <f aca="false">IF(G8=H8,"OK","DIVERGENTE")</f>
        <v>OK</v>
      </c>
    </row>
    <row r="9" customFormat="false" ht="15" hidden="false" customHeight="false" outlineLevel="0" collapsed="false">
      <c r="A9" s="5" t="n">
        <v>8</v>
      </c>
      <c r="B9" s="6" t="s">
        <v>18</v>
      </c>
      <c r="C9" s="6" t="s">
        <v>14</v>
      </c>
      <c r="D9" s="7" t="n">
        <v>9</v>
      </c>
      <c r="E9" s="5" t="n">
        <f aca="false">COUNTIFS(Submenus!$B:$B,B9,Submenus!$E:$E,"Acréscimo")</f>
        <v>4</v>
      </c>
      <c r="F9" s="7" t="n">
        <v>0</v>
      </c>
      <c r="G9" s="5" t="n">
        <f aca="false">D9+E9-F9</f>
        <v>13</v>
      </c>
      <c r="H9" s="5" t="n">
        <f aca="false">COUNTIF(Submenus!$B:$B,B9)</f>
        <v>13</v>
      </c>
      <c r="I9" s="5" t="str">
        <f aca="false">IF(G9=H9,"OK","DIVERGENTE")</f>
        <v>OK</v>
      </c>
    </row>
    <row r="10" customFormat="false" ht="15" hidden="false" customHeight="false" outlineLevel="0" collapsed="false">
      <c r="A10" s="2" t="n">
        <v>9</v>
      </c>
      <c r="B10" s="3" t="s">
        <v>19</v>
      </c>
      <c r="C10" s="3" t="s">
        <v>20</v>
      </c>
      <c r="D10" s="4" t="n">
        <v>10</v>
      </c>
      <c r="E10" s="2" t="n">
        <f aca="false">COUNTIFS(Submenus!$B:$B,B10,Submenus!$E:$E,"Acréscimo")</f>
        <v>0</v>
      </c>
      <c r="F10" s="4" t="n">
        <v>0</v>
      </c>
      <c r="G10" s="2" t="n">
        <f aca="false">D10+E10-F10</f>
        <v>10</v>
      </c>
      <c r="H10" s="2" t="n">
        <f aca="false">COUNTIF(Submenus!$B:$B,B10)</f>
        <v>10</v>
      </c>
      <c r="I10" s="2" t="str">
        <f aca="false">IF(G10=H10,"OK","DIVERGENTE")</f>
        <v>OK</v>
      </c>
    </row>
    <row r="11" customFormat="false" ht="15" hidden="false" customHeight="false" outlineLevel="0" collapsed="false">
      <c r="A11" s="5" t="n">
        <v>10</v>
      </c>
      <c r="B11" s="6" t="s">
        <v>21</v>
      </c>
      <c r="C11" s="6" t="s">
        <v>20</v>
      </c>
      <c r="D11" s="7" t="n">
        <v>9</v>
      </c>
      <c r="E11" s="5" t="n">
        <f aca="false">COUNTIFS(Submenus!$B:$B,B11,Submenus!$E:$E,"Acréscimo")</f>
        <v>3</v>
      </c>
      <c r="F11" s="7" t="n">
        <v>0</v>
      </c>
      <c r="G11" s="5" t="n">
        <f aca="false">D11+E11-F11</f>
        <v>12</v>
      </c>
      <c r="H11" s="5" t="n">
        <f aca="false">COUNTIF(Submenus!$B:$B,B11)</f>
        <v>12</v>
      </c>
      <c r="I11" s="5" t="str">
        <f aca="false">IF(G11=H11,"OK","DIVERGENTE")</f>
        <v>OK</v>
      </c>
    </row>
    <row r="12" customFormat="false" ht="15" hidden="false" customHeight="false" outlineLevel="0" collapsed="false">
      <c r="A12" s="2" t="n">
        <v>11</v>
      </c>
      <c r="B12" s="3" t="s">
        <v>22</v>
      </c>
      <c r="C12" s="3" t="s">
        <v>20</v>
      </c>
      <c r="D12" s="4" t="n">
        <v>9</v>
      </c>
      <c r="E12" s="2" t="n">
        <f aca="false">COUNTIFS(Submenus!$B:$B,B12,Submenus!$E:$E,"Acréscimo")</f>
        <v>0</v>
      </c>
      <c r="F12" s="4" t="n">
        <v>0</v>
      </c>
      <c r="G12" s="2" t="n">
        <f aca="false">D12+E12-F12</f>
        <v>9</v>
      </c>
      <c r="H12" s="2" t="n">
        <f aca="false">COUNTIF(Submenus!$B:$B,B12)</f>
        <v>9</v>
      </c>
      <c r="I12" s="2" t="str">
        <f aca="false">IF(G12=H12,"OK","DIVERGENTE")</f>
        <v>OK</v>
      </c>
    </row>
    <row r="13" customFormat="false" ht="15" hidden="false" customHeight="false" outlineLevel="0" collapsed="false">
      <c r="A13" s="5" t="n">
        <v>12</v>
      </c>
      <c r="B13" s="6" t="s">
        <v>23</v>
      </c>
      <c r="C13" s="6" t="s">
        <v>20</v>
      </c>
      <c r="D13" s="7" t="n">
        <v>8</v>
      </c>
      <c r="E13" s="5" t="n">
        <f aca="false">COUNTIFS(Submenus!$B:$B,B13,Submenus!$E:$E,"Acréscimo")</f>
        <v>0</v>
      </c>
      <c r="F13" s="7" t="n">
        <v>0</v>
      </c>
      <c r="G13" s="5" t="n">
        <f aca="false">D13+E13-F13</f>
        <v>8</v>
      </c>
      <c r="H13" s="5" t="n">
        <f aca="false">COUNTIF(Submenus!$B:$B,B13)</f>
        <v>8</v>
      </c>
      <c r="I13" s="5" t="str">
        <f aca="false">IF(G13=H13,"OK","DIVERGENTE")</f>
        <v>OK</v>
      </c>
    </row>
    <row r="14" customFormat="false" ht="15" hidden="false" customHeight="false" outlineLevel="0" collapsed="false">
      <c r="A14" s="2" t="n">
        <v>13</v>
      </c>
      <c r="B14" s="3" t="s">
        <v>24</v>
      </c>
      <c r="C14" s="3" t="s">
        <v>20</v>
      </c>
      <c r="D14" s="4" t="n">
        <v>10</v>
      </c>
      <c r="E14" s="2" t="n">
        <f aca="false">COUNTIFS(Submenus!$B:$B,B14,Submenus!$E:$E,"Acréscimo")</f>
        <v>3</v>
      </c>
      <c r="F14" s="4" t="n">
        <v>0</v>
      </c>
      <c r="G14" s="2" t="n">
        <f aca="false">D14+E14-F14</f>
        <v>13</v>
      </c>
      <c r="H14" s="2" t="n">
        <f aca="false">COUNTIF(Submenus!$B:$B,B14)</f>
        <v>13</v>
      </c>
      <c r="I14" s="2" t="str">
        <f aca="false">IF(G14=H14,"OK","DIVERGENTE")</f>
        <v>OK</v>
      </c>
    </row>
    <row r="15" customFormat="false" ht="15" hidden="false" customHeight="false" outlineLevel="0" collapsed="false">
      <c r="A15" s="5" t="n">
        <v>14</v>
      </c>
      <c r="B15" s="6" t="s">
        <v>25</v>
      </c>
      <c r="C15" s="6" t="s">
        <v>26</v>
      </c>
      <c r="D15" s="7" t="n">
        <v>11</v>
      </c>
      <c r="E15" s="5" t="n">
        <f aca="false">COUNTIFS(Submenus!$B:$B,B15,Submenus!$E:$E,"Acréscimo")</f>
        <v>0</v>
      </c>
      <c r="F15" s="7" t="n">
        <v>0</v>
      </c>
      <c r="G15" s="5" t="n">
        <f aca="false">D15+E15-F15</f>
        <v>11</v>
      </c>
      <c r="H15" s="5" t="n">
        <f aca="false">COUNTIF(Submenus!$B:$B,B15)</f>
        <v>11</v>
      </c>
      <c r="I15" s="5" t="str">
        <f aca="false">IF(G15=H15,"OK","DIVERGENTE")</f>
        <v>OK</v>
      </c>
    </row>
    <row r="16" customFormat="false" ht="15" hidden="false" customHeight="false" outlineLevel="0" collapsed="false">
      <c r="A16" s="2" t="n">
        <v>15</v>
      </c>
      <c r="B16" s="3" t="s">
        <v>27</v>
      </c>
      <c r="C16" s="3" t="s">
        <v>14</v>
      </c>
      <c r="D16" s="4" t="n">
        <v>8</v>
      </c>
      <c r="E16" s="2" t="n">
        <f aca="false">COUNTIFS(Submenus!$B:$B,B16,Submenus!$E:$E,"Acréscimo")</f>
        <v>0</v>
      </c>
      <c r="F16" s="4" t="n">
        <v>0</v>
      </c>
      <c r="G16" s="2" t="n">
        <f aca="false">D16+E16-F16</f>
        <v>8</v>
      </c>
      <c r="H16" s="2" t="n">
        <f aca="false">COUNTIF(Submenus!$B:$B,B16)</f>
        <v>8</v>
      </c>
      <c r="I16" s="2" t="str">
        <f aca="false">IF(G16=H16,"OK","DIVERGENTE")</f>
        <v>OK</v>
      </c>
    </row>
    <row r="17" customFormat="false" ht="15" hidden="false" customHeight="false" outlineLevel="0" collapsed="false">
      <c r="A17" s="5" t="n">
        <v>16</v>
      </c>
      <c r="B17" s="6" t="s">
        <v>28</v>
      </c>
      <c r="C17" s="6" t="s">
        <v>26</v>
      </c>
      <c r="D17" s="7" t="n">
        <v>10</v>
      </c>
      <c r="E17" s="5" t="n">
        <f aca="false">COUNTIFS(Submenus!$B:$B,B17,Submenus!$E:$E,"Acréscimo")</f>
        <v>0</v>
      </c>
      <c r="F17" s="7" t="n">
        <v>1</v>
      </c>
      <c r="G17" s="5" t="n">
        <f aca="false">D17+E17-F17</f>
        <v>9</v>
      </c>
      <c r="H17" s="5" t="n">
        <f aca="false">COUNTIF(Submenus!$B:$B,B17)</f>
        <v>9</v>
      </c>
      <c r="I17" s="5" t="str">
        <f aca="false">IF(G17=H17,"OK","DIVERGENTE")</f>
        <v>OK</v>
      </c>
    </row>
    <row r="18" customFormat="false" ht="15" hidden="false" customHeight="false" outlineLevel="0" collapsed="false">
      <c r="A18" s="2" t="n">
        <v>17</v>
      </c>
      <c r="B18" s="3" t="s">
        <v>29</v>
      </c>
      <c r="C18" s="3" t="s">
        <v>26</v>
      </c>
      <c r="D18" s="4" t="n">
        <v>10</v>
      </c>
      <c r="E18" s="2" t="n">
        <f aca="false">COUNTIFS(Submenus!$B:$B,B18,Submenus!$E:$E,"Acréscimo")</f>
        <v>0</v>
      </c>
      <c r="F18" s="4" t="n">
        <v>0</v>
      </c>
      <c r="G18" s="2" t="n">
        <f aca="false">D18+E18-F18</f>
        <v>10</v>
      </c>
      <c r="H18" s="2" t="n">
        <f aca="false">COUNTIF(Submenus!$B:$B,B18)</f>
        <v>10</v>
      </c>
      <c r="I18" s="2" t="str">
        <f aca="false">IF(G18=H18,"OK","DIVERGENTE")</f>
        <v>OK</v>
      </c>
    </row>
    <row r="19" customFormat="false" ht="15" hidden="false" customHeight="false" outlineLevel="0" collapsed="false">
      <c r="A19" s="8"/>
      <c r="B19" s="9" t="s">
        <v>30</v>
      </c>
      <c r="C19" s="8"/>
      <c r="D19" s="10" t="n">
        <f aca="false">SUM(D2:D18)</f>
        <v>154</v>
      </c>
      <c r="E19" s="10" t="n">
        <f aca="false">SUM(E2:E18)</f>
        <v>19</v>
      </c>
      <c r="F19" s="10" t="n">
        <f aca="false">SUM(F2:F18)</f>
        <v>1</v>
      </c>
      <c r="G19" s="10" t="n">
        <f aca="false">SUM(G2:G18)</f>
        <v>172</v>
      </c>
      <c r="H19" s="10" t="n">
        <f aca="false">SUM(H2:H18)</f>
        <v>172</v>
      </c>
      <c r="I19" s="10" t="str">
        <f aca="false">IF(AND(D19=154,G19=H19),"OK","DIVERGENTE")</f>
        <v>OK</v>
      </c>
    </row>
    <row r="21" customFormat="false" ht="15" hidden="false" customHeight="false" outlineLevel="0" collapsed="false">
      <c r="B21" s="1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48"/>
    <col collapsed="false" customWidth="true" hidden="false" outlineLevel="0" max="4" min="4" style="0" width="32"/>
    <col collapsed="false" customWidth="true" hidden="false" outlineLevel="0" max="5" min="5" style="0" width="13"/>
    <col collapsed="false" customWidth="true" hidden="false" outlineLevel="0" max="6" min="6" style="0" width="52"/>
  </cols>
  <sheetData>
    <row r="1" customFormat="false" ht="30" hidden="false" customHeight="true" outlineLevel="0" collapsed="false">
      <c r="A1" s="1" t="s">
        <v>32</v>
      </c>
      <c r="B1" s="1" t="s">
        <v>1</v>
      </c>
      <c r="C1" s="1" t="s">
        <v>33</v>
      </c>
      <c r="D1" s="1" t="s">
        <v>2</v>
      </c>
      <c r="E1" s="1" t="s">
        <v>34</v>
      </c>
      <c r="F1" s="1" t="s">
        <v>35</v>
      </c>
    </row>
    <row r="2" customFormat="false" ht="15" hidden="false" customHeight="false" outlineLevel="0" collapsed="false">
      <c r="A2" s="12" t="s">
        <v>36</v>
      </c>
      <c r="B2" s="12" t="s">
        <v>9</v>
      </c>
      <c r="C2" s="12" t="s">
        <v>37</v>
      </c>
      <c r="D2" s="12" t="s">
        <v>10</v>
      </c>
      <c r="E2" s="12" t="s">
        <v>38</v>
      </c>
      <c r="F2" s="12"/>
    </row>
    <row r="3" customFormat="false" ht="15" hidden="false" customHeight="false" outlineLevel="0" collapsed="false">
      <c r="A3" s="12" t="s">
        <v>39</v>
      </c>
      <c r="B3" s="12" t="s">
        <v>9</v>
      </c>
      <c r="C3" s="12" t="s">
        <v>40</v>
      </c>
      <c r="D3" s="12" t="s">
        <v>10</v>
      </c>
      <c r="E3" s="12" t="s">
        <v>38</v>
      </c>
      <c r="F3" s="12"/>
    </row>
    <row r="4" customFormat="false" ht="15" hidden="false" customHeight="false" outlineLevel="0" collapsed="false">
      <c r="A4" s="12" t="s">
        <v>41</v>
      </c>
      <c r="B4" s="12" t="s">
        <v>9</v>
      </c>
      <c r="C4" s="12" t="s">
        <v>42</v>
      </c>
      <c r="D4" s="12" t="s">
        <v>10</v>
      </c>
      <c r="E4" s="12" t="s">
        <v>38</v>
      </c>
      <c r="F4" s="12"/>
    </row>
    <row r="5" customFormat="false" ht="15" hidden="false" customHeight="false" outlineLevel="0" collapsed="false">
      <c r="A5" s="12" t="s">
        <v>43</v>
      </c>
      <c r="B5" s="12" t="s">
        <v>9</v>
      </c>
      <c r="C5" s="12" t="s">
        <v>44</v>
      </c>
      <c r="D5" s="12" t="s">
        <v>10</v>
      </c>
      <c r="E5" s="12" t="s">
        <v>38</v>
      </c>
      <c r="F5" s="12"/>
    </row>
    <row r="6" customFormat="false" ht="15" hidden="false" customHeight="false" outlineLevel="0" collapsed="false">
      <c r="A6" s="12" t="s">
        <v>45</v>
      </c>
      <c r="B6" s="12" t="s">
        <v>9</v>
      </c>
      <c r="C6" s="12" t="s">
        <v>46</v>
      </c>
      <c r="D6" s="12" t="s">
        <v>10</v>
      </c>
      <c r="E6" s="12" t="s">
        <v>38</v>
      </c>
      <c r="F6" s="12"/>
    </row>
    <row r="7" customFormat="false" ht="15" hidden="false" customHeight="false" outlineLevel="0" collapsed="false">
      <c r="A7" s="12" t="s">
        <v>47</v>
      </c>
      <c r="B7" s="12" t="s">
        <v>9</v>
      </c>
      <c r="C7" s="12" t="s">
        <v>48</v>
      </c>
      <c r="D7" s="12" t="s">
        <v>10</v>
      </c>
      <c r="E7" s="12" t="s">
        <v>38</v>
      </c>
      <c r="F7" s="12"/>
    </row>
    <row r="8" customFormat="false" ht="15" hidden="false" customHeight="false" outlineLevel="0" collapsed="false">
      <c r="A8" s="12" t="s">
        <v>49</v>
      </c>
      <c r="B8" s="12" t="s">
        <v>9</v>
      </c>
      <c r="C8" s="12" t="s">
        <v>50</v>
      </c>
      <c r="D8" s="12" t="s">
        <v>10</v>
      </c>
      <c r="E8" s="12" t="s">
        <v>38</v>
      </c>
      <c r="F8" s="12"/>
    </row>
    <row r="9" customFormat="false" ht="15" hidden="false" customHeight="false" outlineLevel="0" collapsed="false">
      <c r="A9" s="13" t="s">
        <v>51</v>
      </c>
      <c r="B9" s="13" t="s">
        <v>11</v>
      </c>
      <c r="C9" s="13" t="s">
        <v>52</v>
      </c>
      <c r="D9" s="13" t="s">
        <v>10</v>
      </c>
      <c r="E9" s="13" t="s">
        <v>38</v>
      </c>
      <c r="F9" s="13"/>
    </row>
    <row r="10" customFormat="false" ht="15" hidden="false" customHeight="false" outlineLevel="0" collapsed="false">
      <c r="A10" s="13" t="s">
        <v>53</v>
      </c>
      <c r="B10" s="13" t="s">
        <v>11</v>
      </c>
      <c r="C10" s="13" t="s">
        <v>54</v>
      </c>
      <c r="D10" s="13" t="s">
        <v>10</v>
      </c>
      <c r="E10" s="13" t="s">
        <v>38</v>
      </c>
      <c r="F10" s="13"/>
    </row>
    <row r="11" customFormat="false" ht="15" hidden="false" customHeight="false" outlineLevel="0" collapsed="false">
      <c r="A11" s="13" t="s">
        <v>55</v>
      </c>
      <c r="B11" s="13" t="s">
        <v>11</v>
      </c>
      <c r="C11" s="13" t="s">
        <v>56</v>
      </c>
      <c r="D11" s="13" t="s">
        <v>10</v>
      </c>
      <c r="E11" s="13" t="s">
        <v>38</v>
      </c>
      <c r="F11" s="13"/>
    </row>
    <row r="12" customFormat="false" ht="15" hidden="false" customHeight="false" outlineLevel="0" collapsed="false">
      <c r="A12" s="13" t="s">
        <v>57</v>
      </c>
      <c r="B12" s="13" t="s">
        <v>11</v>
      </c>
      <c r="C12" s="13" t="s">
        <v>58</v>
      </c>
      <c r="D12" s="13" t="s">
        <v>10</v>
      </c>
      <c r="E12" s="13" t="s">
        <v>38</v>
      </c>
      <c r="F12" s="13"/>
    </row>
    <row r="13" customFormat="false" ht="15" hidden="false" customHeight="false" outlineLevel="0" collapsed="false">
      <c r="A13" s="13" t="s">
        <v>59</v>
      </c>
      <c r="B13" s="13" t="s">
        <v>11</v>
      </c>
      <c r="C13" s="13" t="s">
        <v>60</v>
      </c>
      <c r="D13" s="13" t="s">
        <v>10</v>
      </c>
      <c r="E13" s="13" t="s">
        <v>38</v>
      </c>
      <c r="F13" s="13"/>
    </row>
    <row r="14" customFormat="false" ht="15" hidden="false" customHeight="false" outlineLevel="0" collapsed="false">
      <c r="A14" s="13" t="s">
        <v>61</v>
      </c>
      <c r="B14" s="13" t="s">
        <v>11</v>
      </c>
      <c r="C14" s="13" t="s">
        <v>62</v>
      </c>
      <c r="D14" s="13" t="s">
        <v>10</v>
      </c>
      <c r="E14" s="13" t="s">
        <v>38</v>
      </c>
      <c r="F14" s="13"/>
    </row>
    <row r="15" customFormat="false" ht="15" hidden="false" customHeight="false" outlineLevel="0" collapsed="false">
      <c r="A15" s="13" t="s">
        <v>63</v>
      </c>
      <c r="B15" s="13" t="s">
        <v>11</v>
      </c>
      <c r="C15" s="13" t="s">
        <v>64</v>
      </c>
      <c r="D15" s="13" t="s">
        <v>10</v>
      </c>
      <c r="E15" s="13" t="s">
        <v>38</v>
      </c>
      <c r="F15" s="13"/>
    </row>
    <row r="16" customFormat="false" ht="15" hidden="false" customHeight="false" outlineLevel="0" collapsed="false">
      <c r="A16" s="13" t="s">
        <v>65</v>
      </c>
      <c r="B16" s="13" t="s">
        <v>11</v>
      </c>
      <c r="C16" s="13" t="s">
        <v>66</v>
      </c>
      <c r="D16" s="13" t="s">
        <v>10</v>
      </c>
      <c r="E16" s="13" t="s">
        <v>38</v>
      </c>
      <c r="F16" s="13"/>
    </row>
    <row r="17" customFormat="false" ht="15" hidden="false" customHeight="false" outlineLevel="0" collapsed="false">
      <c r="A17" s="12" t="s">
        <v>67</v>
      </c>
      <c r="B17" s="12" t="s">
        <v>12</v>
      </c>
      <c r="C17" s="12" t="s">
        <v>68</v>
      </c>
      <c r="D17" s="12" t="s">
        <v>10</v>
      </c>
      <c r="E17" s="12" t="s">
        <v>69</v>
      </c>
      <c r="F17" s="12" t="s">
        <v>70</v>
      </c>
    </row>
    <row r="18" customFormat="false" ht="15" hidden="false" customHeight="false" outlineLevel="0" collapsed="false">
      <c r="A18" s="12" t="s">
        <v>71</v>
      </c>
      <c r="B18" s="12" t="s">
        <v>12</v>
      </c>
      <c r="C18" s="12" t="s">
        <v>72</v>
      </c>
      <c r="D18" s="12" t="s">
        <v>10</v>
      </c>
      <c r="E18" s="12" t="s">
        <v>69</v>
      </c>
      <c r="F18" s="12"/>
    </row>
    <row r="19" customFormat="false" ht="15" hidden="false" customHeight="false" outlineLevel="0" collapsed="false">
      <c r="A19" s="12" t="s">
        <v>73</v>
      </c>
      <c r="B19" s="12" t="s">
        <v>12</v>
      </c>
      <c r="C19" s="12" t="s">
        <v>74</v>
      </c>
      <c r="D19" s="12" t="s">
        <v>10</v>
      </c>
      <c r="E19" s="12" t="s">
        <v>69</v>
      </c>
      <c r="F19" s="12"/>
    </row>
    <row r="20" customFormat="false" ht="15" hidden="false" customHeight="false" outlineLevel="0" collapsed="false">
      <c r="A20" s="12" t="s">
        <v>75</v>
      </c>
      <c r="B20" s="12" t="s">
        <v>12</v>
      </c>
      <c r="C20" s="12" t="s">
        <v>76</v>
      </c>
      <c r="D20" s="12" t="s">
        <v>10</v>
      </c>
      <c r="E20" s="12" t="s">
        <v>69</v>
      </c>
      <c r="F20" s="12"/>
    </row>
    <row r="21" customFormat="false" ht="15" hidden="false" customHeight="false" outlineLevel="0" collapsed="false">
      <c r="A21" s="12" t="s">
        <v>77</v>
      </c>
      <c r="B21" s="12" t="s">
        <v>12</v>
      </c>
      <c r="C21" s="12" t="s">
        <v>78</v>
      </c>
      <c r="D21" s="12" t="s">
        <v>10</v>
      </c>
      <c r="E21" s="12" t="s">
        <v>69</v>
      </c>
      <c r="F21" s="12"/>
    </row>
    <row r="22" customFormat="false" ht="15" hidden="false" customHeight="false" outlineLevel="0" collapsed="false">
      <c r="A22" s="12" t="s">
        <v>79</v>
      </c>
      <c r="B22" s="12" t="s">
        <v>12</v>
      </c>
      <c r="C22" s="12" t="s">
        <v>80</v>
      </c>
      <c r="D22" s="12" t="s">
        <v>10</v>
      </c>
      <c r="E22" s="12" t="s">
        <v>69</v>
      </c>
      <c r="F22" s="12"/>
    </row>
    <row r="23" customFormat="false" ht="15" hidden="false" customHeight="false" outlineLevel="0" collapsed="false">
      <c r="A23" s="12" t="s">
        <v>81</v>
      </c>
      <c r="B23" s="12" t="s">
        <v>12</v>
      </c>
      <c r="C23" s="12" t="s">
        <v>82</v>
      </c>
      <c r="D23" s="12" t="s">
        <v>10</v>
      </c>
      <c r="E23" s="12" t="s">
        <v>69</v>
      </c>
      <c r="F23" s="12"/>
    </row>
    <row r="24" customFormat="false" ht="15" hidden="false" customHeight="false" outlineLevel="0" collapsed="false">
      <c r="A24" s="12" t="s">
        <v>83</v>
      </c>
      <c r="B24" s="12" t="s">
        <v>12</v>
      </c>
      <c r="C24" s="12" t="s">
        <v>84</v>
      </c>
      <c r="D24" s="12" t="s">
        <v>10</v>
      </c>
      <c r="E24" s="12" t="s">
        <v>69</v>
      </c>
      <c r="F24" s="12"/>
    </row>
    <row r="25" customFormat="false" ht="15" hidden="false" customHeight="false" outlineLevel="0" collapsed="false">
      <c r="A25" s="13" t="s">
        <v>85</v>
      </c>
      <c r="B25" s="13" t="s">
        <v>13</v>
      </c>
      <c r="C25" s="13" t="s">
        <v>86</v>
      </c>
      <c r="D25" s="13" t="s">
        <v>14</v>
      </c>
      <c r="E25" s="13" t="s">
        <v>38</v>
      </c>
      <c r="F25" s="13"/>
    </row>
    <row r="26" customFormat="false" ht="15" hidden="false" customHeight="false" outlineLevel="0" collapsed="false">
      <c r="A26" s="13" t="s">
        <v>87</v>
      </c>
      <c r="B26" s="13" t="s">
        <v>13</v>
      </c>
      <c r="C26" s="13" t="s">
        <v>88</v>
      </c>
      <c r="D26" s="13" t="s">
        <v>14</v>
      </c>
      <c r="E26" s="13" t="s">
        <v>38</v>
      </c>
      <c r="F26" s="13"/>
    </row>
    <row r="27" customFormat="false" ht="15" hidden="false" customHeight="false" outlineLevel="0" collapsed="false">
      <c r="A27" s="13" t="s">
        <v>89</v>
      </c>
      <c r="B27" s="13" t="s">
        <v>13</v>
      </c>
      <c r="C27" s="13" t="s">
        <v>90</v>
      </c>
      <c r="D27" s="13" t="s">
        <v>14</v>
      </c>
      <c r="E27" s="13" t="s">
        <v>38</v>
      </c>
      <c r="F27" s="13"/>
    </row>
    <row r="28" customFormat="false" ht="15" hidden="false" customHeight="false" outlineLevel="0" collapsed="false">
      <c r="A28" s="13" t="s">
        <v>91</v>
      </c>
      <c r="B28" s="13" t="s">
        <v>13</v>
      </c>
      <c r="C28" s="13" t="s">
        <v>92</v>
      </c>
      <c r="D28" s="13" t="s">
        <v>14</v>
      </c>
      <c r="E28" s="13" t="s">
        <v>38</v>
      </c>
      <c r="F28" s="13"/>
    </row>
    <row r="29" customFormat="false" ht="15" hidden="false" customHeight="false" outlineLevel="0" collapsed="false">
      <c r="A29" s="13" t="s">
        <v>93</v>
      </c>
      <c r="B29" s="13" t="s">
        <v>13</v>
      </c>
      <c r="C29" s="13" t="s">
        <v>94</v>
      </c>
      <c r="D29" s="13" t="s">
        <v>14</v>
      </c>
      <c r="E29" s="13" t="s">
        <v>38</v>
      </c>
      <c r="F29" s="13"/>
    </row>
    <row r="30" customFormat="false" ht="15" hidden="false" customHeight="false" outlineLevel="0" collapsed="false">
      <c r="A30" s="13" t="s">
        <v>95</v>
      </c>
      <c r="B30" s="13" t="s">
        <v>13</v>
      </c>
      <c r="C30" s="13" t="s">
        <v>96</v>
      </c>
      <c r="D30" s="13" t="s">
        <v>14</v>
      </c>
      <c r="E30" s="13" t="s">
        <v>38</v>
      </c>
      <c r="F30" s="13"/>
    </row>
    <row r="31" customFormat="false" ht="15" hidden="false" customHeight="false" outlineLevel="0" collapsed="false">
      <c r="A31" s="13" t="s">
        <v>97</v>
      </c>
      <c r="B31" s="13" t="s">
        <v>13</v>
      </c>
      <c r="C31" s="13" t="s">
        <v>98</v>
      </c>
      <c r="D31" s="13" t="s">
        <v>14</v>
      </c>
      <c r="E31" s="13" t="s">
        <v>38</v>
      </c>
      <c r="F31" s="13"/>
    </row>
    <row r="32" customFormat="false" ht="15" hidden="false" customHeight="false" outlineLevel="0" collapsed="false">
      <c r="A32" s="13" t="s">
        <v>99</v>
      </c>
      <c r="B32" s="13" t="s">
        <v>13</v>
      </c>
      <c r="C32" s="13" t="s">
        <v>100</v>
      </c>
      <c r="D32" s="13" t="s">
        <v>14</v>
      </c>
      <c r="E32" s="13" t="s">
        <v>38</v>
      </c>
      <c r="F32" s="13"/>
    </row>
    <row r="33" customFormat="false" ht="15" hidden="false" customHeight="false" outlineLevel="0" collapsed="false">
      <c r="A33" s="13" t="s">
        <v>101</v>
      </c>
      <c r="B33" s="13" t="s">
        <v>13</v>
      </c>
      <c r="C33" s="13" t="s">
        <v>102</v>
      </c>
      <c r="D33" s="13" t="s">
        <v>14</v>
      </c>
      <c r="E33" s="13" t="s">
        <v>38</v>
      </c>
      <c r="F33" s="13"/>
    </row>
    <row r="34" customFormat="false" ht="15" hidden="false" customHeight="false" outlineLevel="0" collapsed="false">
      <c r="A34" s="14" t="s">
        <v>103</v>
      </c>
      <c r="B34" s="14" t="s">
        <v>13</v>
      </c>
      <c r="C34" s="14" t="s">
        <v>104</v>
      </c>
      <c r="D34" s="14" t="s">
        <v>14</v>
      </c>
      <c r="E34" s="14" t="s">
        <v>105</v>
      </c>
      <c r="F34" s="14"/>
    </row>
    <row r="35" customFormat="false" ht="15" hidden="false" customHeight="false" outlineLevel="0" collapsed="false">
      <c r="A35" s="14" t="s">
        <v>106</v>
      </c>
      <c r="B35" s="14" t="s">
        <v>13</v>
      </c>
      <c r="C35" s="14" t="s">
        <v>107</v>
      </c>
      <c r="D35" s="14" t="s">
        <v>14</v>
      </c>
      <c r="E35" s="14" t="s">
        <v>105</v>
      </c>
      <c r="F35" s="14"/>
    </row>
    <row r="36" customFormat="false" ht="15" hidden="false" customHeight="false" outlineLevel="0" collapsed="false">
      <c r="A36" s="14" t="s">
        <v>108</v>
      </c>
      <c r="B36" s="14" t="s">
        <v>13</v>
      </c>
      <c r="C36" s="14" t="s">
        <v>109</v>
      </c>
      <c r="D36" s="14" t="s">
        <v>14</v>
      </c>
      <c r="E36" s="14" t="s">
        <v>105</v>
      </c>
      <c r="F36" s="14"/>
    </row>
    <row r="37" customFormat="false" ht="15" hidden="false" customHeight="false" outlineLevel="0" collapsed="false">
      <c r="A37" s="12" t="s">
        <v>110</v>
      </c>
      <c r="B37" s="12" t="s">
        <v>15</v>
      </c>
      <c r="C37" s="12" t="s">
        <v>111</v>
      </c>
      <c r="D37" s="12" t="s">
        <v>10</v>
      </c>
      <c r="E37" s="12" t="s">
        <v>69</v>
      </c>
      <c r="F37" s="12"/>
    </row>
    <row r="38" customFormat="false" ht="15" hidden="false" customHeight="false" outlineLevel="0" collapsed="false">
      <c r="A38" s="12" t="s">
        <v>112</v>
      </c>
      <c r="B38" s="12" t="s">
        <v>15</v>
      </c>
      <c r="C38" s="12" t="s">
        <v>113</v>
      </c>
      <c r="D38" s="12" t="s">
        <v>10</v>
      </c>
      <c r="E38" s="12" t="s">
        <v>69</v>
      </c>
      <c r="F38" s="12"/>
    </row>
    <row r="39" customFormat="false" ht="15" hidden="false" customHeight="false" outlineLevel="0" collapsed="false">
      <c r="A39" s="12" t="s">
        <v>114</v>
      </c>
      <c r="B39" s="12" t="s">
        <v>15</v>
      </c>
      <c r="C39" s="12" t="s">
        <v>115</v>
      </c>
      <c r="D39" s="12" t="s">
        <v>10</v>
      </c>
      <c r="E39" s="12" t="s">
        <v>69</v>
      </c>
      <c r="F39" s="12"/>
    </row>
    <row r="40" customFormat="false" ht="15" hidden="false" customHeight="false" outlineLevel="0" collapsed="false">
      <c r="A40" s="12" t="s">
        <v>116</v>
      </c>
      <c r="B40" s="12" t="s">
        <v>15</v>
      </c>
      <c r="C40" s="12" t="s">
        <v>117</v>
      </c>
      <c r="D40" s="12" t="s">
        <v>10</v>
      </c>
      <c r="E40" s="12" t="s">
        <v>69</v>
      </c>
      <c r="F40" s="12"/>
    </row>
    <row r="41" customFormat="false" ht="15" hidden="false" customHeight="false" outlineLevel="0" collapsed="false">
      <c r="A41" s="12" t="s">
        <v>118</v>
      </c>
      <c r="B41" s="12" t="s">
        <v>15</v>
      </c>
      <c r="C41" s="12" t="s">
        <v>119</v>
      </c>
      <c r="D41" s="12" t="s">
        <v>10</v>
      </c>
      <c r="E41" s="12" t="s">
        <v>69</v>
      </c>
      <c r="F41" s="12"/>
    </row>
    <row r="42" customFormat="false" ht="15" hidden="false" customHeight="false" outlineLevel="0" collapsed="false">
      <c r="A42" s="12" t="s">
        <v>120</v>
      </c>
      <c r="B42" s="12" t="s">
        <v>15</v>
      </c>
      <c r="C42" s="12" t="s">
        <v>121</v>
      </c>
      <c r="D42" s="12" t="s">
        <v>10</v>
      </c>
      <c r="E42" s="12" t="s">
        <v>69</v>
      </c>
      <c r="F42" s="12"/>
    </row>
    <row r="43" customFormat="false" ht="15" hidden="false" customHeight="false" outlineLevel="0" collapsed="false">
      <c r="A43" s="12" t="s">
        <v>122</v>
      </c>
      <c r="B43" s="12" t="s">
        <v>15</v>
      </c>
      <c r="C43" s="12" t="s">
        <v>123</v>
      </c>
      <c r="D43" s="12" t="s">
        <v>10</v>
      </c>
      <c r="E43" s="12" t="s">
        <v>69</v>
      </c>
      <c r="F43" s="12"/>
    </row>
    <row r="44" customFormat="false" ht="15" hidden="false" customHeight="false" outlineLevel="0" collapsed="false">
      <c r="A44" s="12" t="s">
        <v>124</v>
      </c>
      <c r="B44" s="12" t="s">
        <v>15</v>
      </c>
      <c r="C44" s="12" t="s">
        <v>125</v>
      </c>
      <c r="D44" s="12" t="s">
        <v>10</v>
      </c>
      <c r="E44" s="12" t="s">
        <v>69</v>
      </c>
      <c r="F44" s="12"/>
    </row>
    <row r="45" customFormat="false" ht="15" hidden="false" customHeight="false" outlineLevel="0" collapsed="false">
      <c r="A45" s="14" t="s">
        <v>126</v>
      </c>
      <c r="B45" s="14" t="s">
        <v>15</v>
      </c>
      <c r="C45" s="14" t="s">
        <v>127</v>
      </c>
      <c r="D45" s="14" t="s">
        <v>10</v>
      </c>
      <c r="E45" s="14" t="s">
        <v>105</v>
      </c>
      <c r="F45" s="14"/>
    </row>
    <row r="46" customFormat="false" ht="15" hidden="false" customHeight="false" outlineLevel="0" collapsed="false">
      <c r="A46" s="14" t="s">
        <v>128</v>
      </c>
      <c r="B46" s="14" t="s">
        <v>15</v>
      </c>
      <c r="C46" s="14" t="s">
        <v>129</v>
      </c>
      <c r="D46" s="14" t="s">
        <v>10</v>
      </c>
      <c r="E46" s="14" t="s">
        <v>105</v>
      </c>
      <c r="F46" s="14"/>
    </row>
    <row r="47" customFormat="false" ht="15" hidden="false" customHeight="false" outlineLevel="0" collapsed="false">
      <c r="A47" s="14" t="s">
        <v>130</v>
      </c>
      <c r="B47" s="14" t="s">
        <v>15</v>
      </c>
      <c r="C47" s="14" t="s">
        <v>131</v>
      </c>
      <c r="D47" s="14" t="s">
        <v>10</v>
      </c>
      <c r="E47" s="14" t="s">
        <v>105</v>
      </c>
      <c r="F47" s="14"/>
    </row>
    <row r="48" customFormat="false" ht="15" hidden="false" customHeight="false" outlineLevel="0" collapsed="false">
      <c r="A48" s="13" t="s">
        <v>132</v>
      </c>
      <c r="B48" s="13" t="s">
        <v>16</v>
      </c>
      <c r="C48" s="13" t="s">
        <v>133</v>
      </c>
      <c r="D48" s="13" t="s">
        <v>14</v>
      </c>
      <c r="E48" s="13" t="s">
        <v>69</v>
      </c>
      <c r="F48" s="13"/>
    </row>
    <row r="49" customFormat="false" ht="15" hidden="false" customHeight="false" outlineLevel="0" collapsed="false">
      <c r="A49" s="13" t="s">
        <v>134</v>
      </c>
      <c r="B49" s="13" t="s">
        <v>16</v>
      </c>
      <c r="C49" s="13" t="s">
        <v>135</v>
      </c>
      <c r="D49" s="13" t="s">
        <v>14</v>
      </c>
      <c r="E49" s="13" t="s">
        <v>69</v>
      </c>
      <c r="F49" s="13"/>
    </row>
    <row r="50" customFormat="false" ht="15" hidden="false" customHeight="false" outlineLevel="0" collapsed="false">
      <c r="A50" s="13" t="s">
        <v>136</v>
      </c>
      <c r="B50" s="13" t="s">
        <v>16</v>
      </c>
      <c r="C50" s="13" t="s">
        <v>137</v>
      </c>
      <c r="D50" s="13" t="s">
        <v>14</v>
      </c>
      <c r="E50" s="13" t="s">
        <v>69</v>
      </c>
      <c r="F50" s="13"/>
    </row>
    <row r="51" customFormat="false" ht="15" hidden="false" customHeight="false" outlineLevel="0" collapsed="false">
      <c r="A51" s="13" t="s">
        <v>138</v>
      </c>
      <c r="B51" s="13" t="s">
        <v>16</v>
      </c>
      <c r="C51" s="13" t="s">
        <v>139</v>
      </c>
      <c r="D51" s="13" t="s">
        <v>14</v>
      </c>
      <c r="E51" s="13" t="s">
        <v>69</v>
      </c>
      <c r="F51" s="13"/>
    </row>
    <row r="52" customFormat="false" ht="15" hidden="false" customHeight="false" outlineLevel="0" collapsed="false">
      <c r="A52" s="13" t="s">
        <v>140</v>
      </c>
      <c r="B52" s="13" t="s">
        <v>16</v>
      </c>
      <c r="C52" s="13" t="s">
        <v>141</v>
      </c>
      <c r="D52" s="13" t="s">
        <v>14</v>
      </c>
      <c r="E52" s="13" t="s">
        <v>69</v>
      </c>
      <c r="F52" s="13"/>
    </row>
    <row r="53" customFormat="false" ht="15" hidden="false" customHeight="false" outlineLevel="0" collapsed="false">
      <c r="A53" s="13" t="s">
        <v>142</v>
      </c>
      <c r="B53" s="13" t="s">
        <v>16</v>
      </c>
      <c r="C53" s="13" t="s">
        <v>143</v>
      </c>
      <c r="D53" s="13" t="s">
        <v>14</v>
      </c>
      <c r="E53" s="13" t="s">
        <v>69</v>
      </c>
      <c r="F53" s="13"/>
    </row>
    <row r="54" customFormat="false" ht="15" hidden="false" customHeight="false" outlineLevel="0" collapsed="false">
      <c r="A54" s="13" t="s">
        <v>144</v>
      </c>
      <c r="B54" s="13" t="s">
        <v>16</v>
      </c>
      <c r="C54" s="13" t="s">
        <v>145</v>
      </c>
      <c r="D54" s="13" t="s">
        <v>14</v>
      </c>
      <c r="E54" s="13" t="s">
        <v>69</v>
      </c>
      <c r="F54" s="13"/>
    </row>
    <row r="55" customFormat="false" ht="15" hidden="false" customHeight="false" outlineLevel="0" collapsed="false">
      <c r="A55" s="13" t="s">
        <v>146</v>
      </c>
      <c r="B55" s="13" t="s">
        <v>16</v>
      </c>
      <c r="C55" s="13" t="s">
        <v>147</v>
      </c>
      <c r="D55" s="13" t="s">
        <v>14</v>
      </c>
      <c r="E55" s="13" t="s">
        <v>69</v>
      </c>
      <c r="F55" s="13"/>
    </row>
    <row r="56" customFormat="false" ht="15" hidden="false" customHeight="false" outlineLevel="0" collapsed="false">
      <c r="A56" s="13" t="s">
        <v>148</v>
      </c>
      <c r="B56" s="13" t="s">
        <v>16</v>
      </c>
      <c r="C56" s="13" t="s">
        <v>149</v>
      </c>
      <c r="D56" s="13" t="s">
        <v>14</v>
      </c>
      <c r="E56" s="13" t="s">
        <v>69</v>
      </c>
      <c r="F56" s="13"/>
    </row>
    <row r="57" customFormat="false" ht="15" hidden="false" customHeight="false" outlineLevel="0" collapsed="false">
      <c r="A57" s="13" t="s">
        <v>150</v>
      </c>
      <c r="B57" s="13" t="s">
        <v>16</v>
      </c>
      <c r="C57" s="13" t="s">
        <v>151</v>
      </c>
      <c r="D57" s="13" t="s">
        <v>14</v>
      </c>
      <c r="E57" s="13" t="s">
        <v>69</v>
      </c>
      <c r="F57" s="13"/>
    </row>
    <row r="58" customFormat="false" ht="15" hidden="false" customHeight="false" outlineLevel="0" collapsed="false">
      <c r="A58" s="14" t="s">
        <v>152</v>
      </c>
      <c r="B58" s="14" t="s">
        <v>16</v>
      </c>
      <c r="C58" s="14" t="s">
        <v>153</v>
      </c>
      <c r="D58" s="14" t="s">
        <v>14</v>
      </c>
      <c r="E58" s="14" t="s">
        <v>105</v>
      </c>
      <c r="F58" s="14"/>
    </row>
    <row r="59" customFormat="false" ht="15" hidden="false" customHeight="false" outlineLevel="0" collapsed="false">
      <c r="A59" s="14" t="s">
        <v>154</v>
      </c>
      <c r="B59" s="14" t="s">
        <v>16</v>
      </c>
      <c r="C59" s="14" t="s">
        <v>155</v>
      </c>
      <c r="D59" s="14" t="s">
        <v>14</v>
      </c>
      <c r="E59" s="14" t="s">
        <v>105</v>
      </c>
      <c r="F59" s="14"/>
    </row>
    <row r="60" customFormat="false" ht="15" hidden="false" customHeight="false" outlineLevel="0" collapsed="false">
      <c r="A60" s="14" t="s">
        <v>156</v>
      </c>
      <c r="B60" s="14" t="s">
        <v>16</v>
      </c>
      <c r="C60" s="14" t="s">
        <v>157</v>
      </c>
      <c r="D60" s="14" t="s">
        <v>14</v>
      </c>
      <c r="E60" s="14" t="s">
        <v>105</v>
      </c>
      <c r="F60" s="14"/>
    </row>
    <row r="61" customFormat="false" ht="15" hidden="false" customHeight="false" outlineLevel="0" collapsed="false">
      <c r="A61" s="12" t="s">
        <v>158</v>
      </c>
      <c r="B61" s="12" t="s">
        <v>17</v>
      </c>
      <c r="C61" s="12" t="s">
        <v>159</v>
      </c>
      <c r="D61" s="12" t="s">
        <v>14</v>
      </c>
      <c r="E61" s="12" t="s">
        <v>69</v>
      </c>
      <c r="F61" s="12"/>
    </row>
    <row r="62" customFormat="false" ht="15" hidden="false" customHeight="false" outlineLevel="0" collapsed="false">
      <c r="A62" s="12" t="s">
        <v>160</v>
      </c>
      <c r="B62" s="12" t="s">
        <v>17</v>
      </c>
      <c r="C62" s="12" t="s">
        <v>161</v>
      </c>
      <c r="D62" s="12" t="s">
        <v>14</v>
      </c>
      <c r="E62" s="12" t="s">
        <v>69</v>
      </c>
      <c r="F62" s="12"/>
    </row>
    <row r="63" customFormat="false" ht="15" hidden="false" customHeight="false" outlineLevel="0" collapsed="false">
      <c r="A63" s="12" t="s">
        <v>162</v>
      </c>
      <c r="B63" s="12" t="s">
        <v>17</v>
      </c>
      <c r="C63" s="12" t="s">
        <v>163</v>
      </c>
      <c r="D63" s="12" t="s">
        <v>14</v>
      </c>
      <c r="E63" s="12" t="s">
        <v>69</v>
      </c>
      <c r="F63" s="12"/>
    </row>
    <row r="64" customFormat="false" ht="15" hidden="false" customHeight="false" outlineLevel="0" collapsed="false">
      <c r="A64" s="12" t="s">
        <v>164</v>
      </c>
      <c r="B64" s="12" t="s">
        <v>17</v>
      </c>
      <c r="C64" s="12" t="s">
        <v>165</v>
      </c>
      <c r="D64" s="12" t="s">
        <v>14</v>
      </c>
      <c r="E64" s="12" t="s">
        <v>69</v>
      </c>
      <c r="F64" s="12"/>
    </row>
    <row r="65" customFormat="false" ht="15" hidden="false" customHeight="false" outlineLevel="0" collapsed="false">
      <c r="A65" s="12" t="s">
        <v>166</v>
      </c>
      <c r="B65" s="12" t="s">
        <v>17</v>
      </c>
      <c r="C65" s="12" t="s">
        <v>167</v>
      </c>
      <c r="D65" s="12" t="s">
        <v>14</v>
      </c>
      <c r="E65" s="12" t="s">
        <v>69</v>
      </c>
      <c r="F65" s="12"/>
    </row>
    <row r="66" customFormat="false" ht="15" hidden="false" customHeight="false" outlineLevel="0" collapsed="false">
      <c r="A66" s="12" t="s">
        <v>168</v>
      </c>
      <c r="B66" s="12" t="s">
        <v>17</v>
      </c>
      <c r="C66" s="12" t="s">
        <v>169</v>
      </c>
      <c r="D66" s="12" t="s">
        <v>14</v>
      </c>
      <c r="E66" s="12" t="s">
        <v>69</v>
      </c>
      <c r="F66" s="12"/>
    </row>
    <row r="67" customFormat="false" ht="15" hidden="false" customHeight="false" outlineLevel="0" collapsed="false">
      <c r="A67" s="12" t="s">
        <v>170</v>
      </c>
      <c r="B67" s="12" t="s">
        <v>17</v>
      </c>
      <c r="C67" s="12" t="s">
        <v>171</v>
      </c>
      <c r="D67" s="12" t="s">
        <v>14</v>
      </c>
      <c r="E67" s="12" t="s">
        <v>69</v>
      </c>
      <c r="F67" s="12"/>
    </row>
    <row r="68" customFormat="false" ht="15" hidden="false" customHeight="false" outlineLevel="0" collapsed="false">
      <c r="A68" s="12" t="s">
        <v>172</v>
      </c>
      <c r="B68" s="12" t="s">
        <v>17</v>
      </c>
      <c r="C68" s="12" t="s">
        <v>173</v>
      </c>
      <c r="D68" s="12" t="s">
        <v>14</v>
      </c>
      <c r="E68" s="12" t="s">
        <v>69</v>
      </c>
      <c r="F68" s="12"/>
    </row>
    <row r="69" customFormat="false" ht="15" hidden="false" customHeight="false" outlineLevel="0" collapsed="false">
      <c r="A69" s="12" t="s">
        <v>174</v>
      </c>
      <c r="B69" s="12" t="s">
        <v>17</v>
      </c>
      <c r="C69" s="12" t="s">
        <v>175</v>
      </c>
      <c r="D69" s="12" t="s">
        <v>14</v>
      </c>
      <c r="E69" s="12" t="s">
        <v>69</v>
      </c>
      <c r="F69" s="12"/>
    </row>
    <row r="70" customFormat="false" ht="15" hidden="false" customHeight="false" outlineLevel="0" collapsed="false">
      <c r="A70" s="12" t="s">
        <v>176</v>
      </c>
      <c r="B70" s="12" t="s">
        <v>17</v>
      </c>
      <c r="C70" s="12" t="s">
        <v>177</v>
      </c>
      <c r="D70" s="12" t="s">
        <v>14</v>
      </c>
      <c r="E70" s="12" t="s">
        <v>69</v>
      </c>
      <c r="F70" s="12"/>
    </row>
    <row r="71" customFormat="false" ht="15" hidden="false" customHeight="false" outlineLevel="0" collapsed="false">
      <c r="A71" s="13" t="s">
        <v>178</v>
      </c>
      <c r="B71" s="13" t="s">
        <v>18</v>
      </c>
      <c r="C71" s="13" t="s">
        <v>179</v>
      </c>
      <c r="D71" s="13" t="s">
        <v>14</v>
      </c>
      <c r="E71" s="13" t="s">
        <v>69</v>
      </c>
      <c r="F71" s="13"/>
    </row>
    <row r="72" customFormat="false" ht="15" hidden="false" customHeight="false" outlineLevel="0" collapsed="false">
      <c r="A72" s="13" t="s">
        <v>180</v>
      </c>
      <c r="B72" s="13" t="s">
        <v>18</v>
      </c>
      <c r="C72" s="13" t="s">
        <v>181</v>
      </c>
      <c r="D72" s="13" t="s">
        <v>14</v>
      </c>
      <c r="E72" s="13" t="s">
        <v>69</v>
      </c>
      <c r="F72" s="13"/>
    </row>
    <row r="73" customFormat="false" ht="15" hidden="false" customHeight="false" outlineLevel="0" collapsed="false">
      <c r="A73" s="13" t="s">
        <v>182</v>
      </c>
      <c r="B73" s="13" t="s">
        <v>18</v>
      </c>
      <c r="C73" s="13" t="s">
        <v>183</v>
      </c>
      <c r="D73" s="13" t="s">
        <v>14</v>
      </c>
      <c r="E73" s="13" t="s">
        <v>69</v>
      </c>
      <c r="F73" s="13"/>
    </row>
    <row r="74" customFormat="false" ht="15" hidden="false" customHeight="false" outlineLevel="0" collapsed="false">
      <c r="A74" s="13" t="s">
        <v>184</v>
      </c>
      <c r="B74" s="13" t="s">
        <v>18</v>
      </c>
      <c r="C74" s="13" t="s">
        <v>185</v>
      </c>
      <c r="D74" s="13" t="s">
        <v>14</v>
      </c>
      <c r="E74" s="13" t="s">
        <v>69</v>
      </c>
      <c r="F74" s="13"/>
    </row>
    <row r="75" customFormat="false" ht="15" hidden="false" customHeight="false" outlineLevel="0" collapsed="false">
      <c r="A75" s="13" t="s">
        <v>186</v>
      </c>
      <c r="B75" s="13" t="s">
        <v>18</v>
      </c>
      <c r="C75" s="13" t="s">
        <v>187</v>
      </c>
      <c r="D75" s="13" t="s">
        <v>14</v>
      </c>
      <c r="E75" s="13" t="s">
        <v>69</v>
      </c>
      <c r="F75" s="13"/>
    </row>
    <row r="76" customFormat="false" ht="15" hidden="false" customHeight="false" outlineLevel="0" collapsed="false">
      <c r="A76" s="13" t="s">
        <v>188</v>
      </c>
      <c r="B76" s="13" t="s">
        <v>18</v>
      </c>
      <c r="C76" s="13" t="s">
        <v>189</v>
      </c>
      <c r="D76" s="13" t="s">
        <v>14</v>
      </c>
      <c r="E76" s="13" t="s">
        <v>69</v>
      </c>
      <c r="F76" s="13"/>
    </row>
    <row r="77" customFormat="false" ht="15" hidden="false" customHeight="false" outlineLevel="0" collapsed="false">
      <c r="A77" s="13" t="s">
        <v>190</v>
      </c>
      <c r="B77" s="13" t="s">
        <v>18</v>
      </c>
      <c r="C77" s="13" t="s">
        <v>191</v>
      </c>
      <c r="D77" s="13" t="s">
        <v>14</v>
      </c>
      <c r="E77" s="13" t="s">
        <v>69</v>
      </c>
      <c r="F77" s="13"/>
    </row>
    <row r="78" customFormat="false" ht="15" hidden="false" customHeight="false" outlineLevel="0" collapsed="false">
      <c r="A78" s="13" t="s">
        <v>192</v>
      </c>
      <c r="B78" s="13" t="s">
        <v>18</v>
      </c>
      <c r="C78" s="13" t="s">
        <v>193</v>
      </c>
      <c r="D78" s="13" t="s">
        <v>14</v>
      </c>
      <c r="E78" s="13" t="s">
        <v>69</v>
      </c>
      <c r="F78" s="13"/>
    </row>
    <row r="79" customFormat="false" ht="15" hidden="false" customHeight="false" outlineLevel="0" collapsed="false">
      <c r="A79" s="13" t="s">
        <v>194</v>
      </c>
      <c r="B79" s="13" t="s">
        <v>18</v>
      </c>
      <c r="C79" s="13" t="s">
        <v>195</v>
      </c>
      <c r="D79" s="13" t="s">
        <v>14</v>
      </c>
      <c r="E79" s="13" t="s">
        <v>69</v>
      </c>
      <c r="F79" s="13"/>
    </row>
    <row r="80" customFormat="false" ht="15" hidden="false" customHeight="false" outlineLevel="0" collapsed="false">
      <c r="A80" s="14" t="s">
        <v>196</v>
      </c>
      <c r="B80" s="14" t="s">
        <v>18</v>
      </c>
      <c r="C80" s="14" t="s">
        <v>197</v>
      </c>
      <c r="D80" s="14" t="s">
        <v>14</v>
      </c>
      <c r="E80" s="14" t="s">
        <v>105</v>
      </c>
      <c r="F80" s="14"/>
    </row>
    <row r="81" customFormat="false" ht="15" hidden="false" customHeight="false" outlineLevel="0" collapsed="false">
      <c r="A81" s="14" t="s">
        <v>198</v>
      </c>
      <c r="B81" s="14" t="s">
        <v>18</v>
      </c>
      <c r="C81" s="14" t="s">
        <v>199</v>
      </c>
      <c r="D81" s="14" t="s">
        <v>14</v>
      </c>
      <c r="E81" s="14" t="s">
        <v>105</v>
      </c>
      <c r="F81" s="14"/>
    </row>
    <row r="82" customFormat="false" ht="15" hidden="false" customHeight="false" outlineLevel="0" collapsed="false">
      <c r="A82" s="14" t="s">
        <v>200</v>
      </c>
      <c r="B82" s="14" t="s">
        <v>18</v>
      </c>
      <c r="C82" s="14" t="s">
        <v>201</v>
      </c>
      <c r="D82" s="14" t="s">
        <v>14</v>
      </c>
      <c r="E82" s="14" t="s">
        <v>105</v>
      </c>
      <c r="F82" s="14"/>
    </row>
    <row r="83" customFormat="false" ht="15" hidden="false" customHeight="false" outlineLevel="0" collapsed="false">
      <c r="A83" s="14" t="s">
        <v>202</v>
      </c>
      <c r="B83" s="14" t="s">
        <v>18</v>
      </c>
      <c r="C83" s="14" t="s">
        <v>203</v>
      </c>
      <c r="D83" s="14" t="s">
        <v>14</v>
      </c>
      <c r="E83" s="14" t="s">
        <v>105</v>
      </c>
      <c r="F83" s="14"/>
    </row>
    <row r="84" customFormat="false" ht="15" hidden="false" customHeight="false" outlineLevel="0" collapsed="false">
      <c r="A84" s="12" t="s">
        <v>204</v>
      </c>
      <c r="B84" s="12" t="s">
        <v>19</v>
      </c>
      <c r="C84" s="12" t="s">
        <v>205</v>
      </c>
      <c r="D84" s="12" t="s">
        <v>20</v>
      </c>
      <c r="E84" s="12" t="s">
        <v>69</v>
      </c>
      <c r="F84" s="12"/>
    </row>
    <row r="85" customFormat="false" ht="15" hidden="false" customHeight="false" outlineLevel="0" collapsed="false">
      <c r="A85" s="12" t="s">
        <v>206</v>
      </c>
      <c r="B85" s="12" t="s">
        <v>19</v>
      </c>
      <c r="C85" s="12" t="s">
        <v>207</v>
      </c>
      <c r="D85" s="12" t="s">
        <v>20</v>
      </c>
      <c r="E85" s="12" t="s">
        <v>69</v>
      </c>
      <c r="F85" s="12"/>
    </row>
    <row r="86" customFormat="false" ht="15" hidden="false" customHeight="false" outlineLevel="0" collapsed="false">
      <c r="A86" s="12" t="s">
        <v>208</v>
      </c>
      <c r="B86" s="12" t="s">
        <v>19</v>
      </c>
      <c r="C86" s="12" t="s">
        <v>209</v>
      </c>
      <c r="D86" s="12" t="s">
        <v>20</v>
      </c>
      <c r="E86" s="12" t="s">
        <v>69</v>
      </c>
      <c r="F86" s="12"/>
    </row>
    <row r="87" customFormat="false" ht="15" hidden="false" customHeight="false" outlineLevel="0" collapsed="false">
      <c r="A87" s="12" t="s">
        <v>210</v>
      </c>
      <c r="B87" s="12" t="s">
        <v>19</v>
      </c>
      <c r="C87" s="12" t="s">
        <v>211</v>
      </c>
      <c r="D87" s="12" t="s">
        <v>20</v>
      </c>
      <c r="E87" s="12" t="s">
        <v>69</v>
      </c>
      <c r="F87" s="12"/>
    </row>
    <row r="88" customFormat="false" ht="15" hidden="false" customHeight="false" outlineLevel="0" collapsed="false">
      <c r="A88" s="12" t="s">
        <v>212</v>
      </c>
      <c r="B88" s="12" t="s">
        <v>19</v>
      </c>
      <c r="C88" s="12" t="s">
        <v>213</v>
      </c>
      <c r="D88" s="12" t="s">
        <v>20</v>
      </c>
      <c r="E88" s="12" t="s">
        <v>69</v>
      </c>
      <c r="F88" s="12"/>
    </row>
    <row r="89" customFormat="false" ht="15" hidden="false" customHeight="false" outlineLevel="0" collapsed="false">
      <c r="A89" s="12" t="s">
        <v>214</v>
      </c>
      <c r="B89" s="12" t="s">
        <v>19</v>
      </c>
      <c r="C89" s="12" t="s">
        <v>215</v>
      </c>
      <c r="D89" s="12" t="s">
        <v>20</v>
      </c>
      <c r="E89" s="12" t="s">
        <v>69</v>
      </c>
      <c r="F89" s="12"/>
    </row>
    <row r="90" customFormat="false" ht="15" hidden="false" customHeight="false" outlineLevel="0" collapsed="false">
      <c r="A90" s="12" t="s">
        <v>216</v>
      </c>
      <c r="B90" s="12" t="s">
        <v>19</v>
      </c>
      <c r="C90" s="12" t="s">
        <v>217</v>
      </c>
      <c r="D90" s="12" t="s">
        <v>20</v>
      </c>
      <c r="E90" s="12" t="s">
        <v>69</v>
      </c>
      <c r="F90" s="12"/>
    </row>
    <row r="91" customFormat="false" ht="15" hidden="false" customHeight="false" outlineLevel="0" collapsed="false">
      <c r="A91" s="12" t="s">
        <v>218</v>
      </c>
      <c r="B91" s="12" t="s">
        <v>19</v>
      </c>
      <c r="C91" s="12" t="s">
        <v>219</v>
      </c>
      <c r="D91" s="12" t="s">
        <v>20</v>
      </c>
      <c r="E91" s="12" t="s">
        <v>69</v>
      </c>
      <c r="F91" s="12"/>
    </row>
    <row r="92" customFormat="false" ht="15" hidden="false" customHeight="false" outlineLevel="0" collapsed="false">
      <c r="A92" s="12" t="s">
        <v>220</v>
      </c>
      <c r="B92" s="12" t="s">
        <v>19</v>
      </c>
      <c r="C92" s="12" t="s">
        <v>221</v>
      </c>
      <c r="D92" s="12" t="s">
        <v>20</v>
      </c>
      <c r="E92" s="12" t="s">
        <v>69</v>
      </c>
      <c r="F92" s="12"/>
    </row>
    <row r="93" customFormat="false" ht="15" hidden="false" customHeight="false" outlineLevel="0" collapsed="false">
      <c r="A93" s="12" t="s">
        <v>222</v>
      </c>
      <c r="B93" s="12" t="s">
        <v>19</v>
      </c>
      <c r="C93" s="12" t="s">
        <v>223</v>
      </c>
      <c r="D93" s="12" t="s">
        <v>20</v>
      </c>
      <c r="E93" s="12" t="s">
        <v>69</v>
      </c>
      <c r="F93" s="12"/>
    </row>
    <row r="94" customFormat="false" ht="15" hidden="false" customHeight="false" outlineLevel="0" collapsed="false">
      <c r="A94" s="13" t="s">
        <v>224</v>
      </c>
      <c r="B94" s="13" t="s">
        <v>21</v>
      </c>
      <c r="C94" s="13" t="s">
        <v>225</v>
      </c>
      <c r="D94" s="13" t="s">
        <v>20</v>
      </c>
      <c r="E94" s="13" t="s">
        <v>69</v>
      </c>
      <c r="F94" s="13"/>
    </row>
    <row r="95" customFormat="false" ht="15" hidden="false" customHeight="false" outlineLevel="0" collapsed="false">
      <c r="A95" s="13" t="s">
        <v>226</v>
      </c>
      <c r="B95" s="13" t="s">
        <v>21</v>
      </c>
      <c r="C95" s="13" t="s">
        <v>227</v>
      </c>
      <c r="D95" s="13" t="s">
        <v>20</v>
      </c>
      <c r="E95" s="13" t="s">
        <v>69</v>
      </c>
      <c r="F95" s="13"/>
    </row>
    <row r="96" customFormat="false" ht="15" hidden="false" customHeight="false" outlineLevel="0" collapsed="false">
      <c r="A96" s="13" t="s">
        <v>228</v>
      </c>
      <c r="B96" s="13" t="s">
        <v>21</v>
      </c>
      <c r="C96" s="13" t="s">
        <v>229</v>
      </c>
      <c r="D96" s="13" t="s">
        <v>20</v>
      </c>
      <c r="E96" s="13" t="s">
        <v>69</v>
      </c>
      <c r="F96" s="13"/>
    </row>
    <row r="97" customFormat="false" ht="15" hidden="false" customHeight="false" outlineLevel="0" collapsed="false">
      <c r="A97" s="13" t="s">
        <v>230</v>
      </c>
      <c r="B97" s="13" t="s">
        <v>21</v>
      </c>
      <c r="C97" s="13" t="s">
        <v>231</v>
      </c>
      <c r="D97" s="13" t="s">
        <v>20</v>
      </c>
      <c r="E97" s="13" t="s">
        <v>69</v>
      </c>
      <c r="F97" s="13"/>
    </row>
    <row r="98" customFormat="false" ht="15" hidden="false" customHeight="false" outlineLevel="0" collapsed="false">
      <c r="A98" s="13" t="s">
        <v>232</v>
      </c>
      <c r="B98" s="13" t="s">
        <v>21</v>
      </c>
      <c r="C98" s="13" t="s">
        <v>233</v>
      </c>
      <c r="D98" s="13" t="s">
        <v>20</v>
      </c>
      <c r="E98" s="13" t="s">
        <v>69</v>
      </c>
      <c r="F98" s="13"/>
    </row>
    <row r="99" customFormat="false" ht="15" hidden="false" customHeight="false" outlineLevel="0" collapsed="false">
      <c r="A99" s="13" t="s">
        <v>234</v>
      </c>
      <c r="B99" s="13" t="s">
        <v>21</v>
      </c>
      <c r="C99" s="13" t="s">
        <v>235</v>
      </c>
      <c r="D99" s="13" t="s">
        <v>20</v>
      </c>
      <c r="E99" s="13" t="s">
        <v>69</v>
      </c>
      <c r="F99" s="13"/>
    </row>
    <row r="100" customFormat="false" ht="15" hidden="false" customHeight="false" outlineLevel="0" collapsed="false">
      <c r="A100" s="13" t="s">
        <v>236</v>
      </c>
      <c r="B100" s="13" t="s">
        <v>21</v>
      </c>
      <c r="C100" s="13" t="s">
        <v>237</v>
      </c>
      <c r="D100" s="13" t="s">
        <v>20</v>
      </c>
      <c r="E100" s="13" t="s">
        <v>69</v>
      </c>
      <c r="F100" s="13"/>
    </row>
    <row r="101" customFormat="false" ht="15" hidden="false" customHeight="false" outlineLevel="0" collapsed="false">
      <c r="A101" s="13" t="s">
        <v>238</v>
      </c>
      <c r="B101" s="13" t="s">
        <v>21</v>
      </c>
      <c r="C101" s="13" t="s">
        <v>239</v>
      </c>
      <c r="D101" s="13" t="s">
        <v>20</v>
      </c>
      <c r="E101" s="13" t="s">
        <v>69</v>
      </c>
      <c r="F101" s="13"/>
    </row>
    <row r="102" customFormat="false" ht="15" hidden="false" customHeight="false" outlineLevel="0" collapsed="false">
      <c r="A102" s="13" t="s">
        <v>240</v>
      </c>
      <c r="B102" s="13" t="s">
        <v>21</v>
      </c>
      <c r="C102" s="13" t="s">
        <v>241</v>
      </c>
      <c r="D102" s="13" t="s">
        <v>20</v>
      </c>
      <c r="E102" s="13" t="s">
        <v>69</v>
      </c>
      <c r="F102" s="13"/>
    </row>
    <row r="103" customFormat="false" ht="15" hidden="false" customHeight="false" outlineLevel="0" collapsed="false">
      <c r="A103" s="14" t="s">
        <v>242</v>
      </c>
      <c r="B103" s="14" t="s">
        <v>21</v>
      </c>
      <c r="C103" s="14" t="s">
        <v>243</v>
      </c>
      <c r="D103" s="14" t="s">
        <v>20</v>
      </c>
      <c r="E103" s="14" t="s">
        <v>105</v>
      </c>
      <c r="F103" s="14"/>
    </row>
    <row r="104" customFormat="false" ht="15" hidden="false" customHeight="false" outlineLevel="0" collapsed="false">
      <c r="A104" s="14" t="s">
        <v>244</v>
      </c>
      <c r="B104" s="14" t="s">
        <v>21</v>
      </c>
      <c r="C104" s="14" t="s">
        <v>245</v>
      </c>
      <c r="D104" s="14" t="s">
        <v>20</v>
      </c>
      <c r="E104" s="14" t="s">
        <v>105</v>
      </c>
      <c r="F104" s="14"/>
    </row>
    <row r="105" customFormat="false" ht="15" hidden="false" customHeight="false" outlineLevel="0" collapsed="false">
      <c r="A105" s="14" t="s">
        <v>246</v>
      </c>
      <c r="B105" s="14" t="s">
        <v>21</v>
      </c>
      <c r="C105" s="14" t="s">
        <v>247</v>
      </c>
      <c r="D105" s="14" t="s">
        <v>20</v>
      </c>
      <c r="E105" s="14" t="s">
        <v>105</v>
      </c>
      <c r="F105" s="14"/>
    </row>
    <row r="106" customFormat="false" ht="15" hidden="false" customHeight="false" outlineLevel="0" collapsed="false">
      <c r="A106" s="12" t="s">
        <v>248</v>
      </c>
      <c r="B106" s="12" t="s">
        <v>22</v>
      </c>
      <c r="C106" s="12" t="s">
        <v>249</v>
      </c>
      <c r="D106" s="12" t="s">
        <v>20</v>
      </c>
      <c r="E106" s="12" t="s">
        <v>69</v>
      </c>
      <c r="F106" s="12"/>
    </row>
    <row r="107" customFormat="false" ht="15" hidden="false" customHeight="false" outlineLevel="0" collapsed="false">
      <c r="A107" s="12" t="s">
        <v>250</v>
      </c>
      <c r="B107" s="12" t="s">
        <v>22</v>
      </c>
      <c r="C107" s="12" t="s">
        <v>251</v>
      </c>
      <c r="D107" s="12" t="s">
        <v>20</v>
      </c>
      <c r="E107" s="12" t="s">
        <v>69</v>
      </c>
      <c r="F107" s="12"/>
    </row>
    <row r="108" customFormat="false" ht="15" hidden="false" customHeight="false" outlineLevel="0" collapsed="false">
      <c r="A108" s="12" t="s">
        <v>252</v>
      </c>
      <c r="B108" s="12" t="s">
        <v>22</v>
      </c>
      <c r="C108" s="12" t="s">
        <v>253</v>
      </c>
      <c r="D108" s="12" t="s">
        <v>20</v>
      </c>
      <c r="E108" s="12" t="s">
        <v>69</v>
      </c>
      <c r="F108" s="12"/>
    </row>
    <row r="109" customFormat="false" ht="15" hidden="false" customHeight="false" outlineLevel="0" collapsed="false">
      <c r="A109" s="12" t="s">
        <v>254</v>
      </c>
      <c r="B109" s="12" t="s">
        <v>22</v>
      </c>
      <c r="C109" s="12" t="s">
        <v>255</v>
      </c>
      <c r="D109" s="12" t="s">
        <v>20</v>
      </c>
      <c r="E109" s="12" t="s">
        <v>69</v>
      </c>
      <c r="F109" s="12"/>
    </row>
    <row r="110" customFormat="false" ht="15" hidden="false" customHeight="false" outlineLevel="0" collapsed="false">
      <c r="A110" s="12" t="s">
        <v>256</v>
      </c>
      <c r="B110" s="12" t="s">
        <v>22</v>
      </c>
      <c r="C110" s="12" t="s">
        <v>257</v>
      </c>
      <c r="D110" s="12" t="s">
        <v>20</v>
      </c>
      <c r="E110" s="12" t="s">
        <v>69</v>
      </c>
      <c r="F110" s="12"/>
    </row>
    <row r="111" customFormat="false" ht="15" hidden="false" customHeight="false" outlineLevel="0" collapsed="false">
      <c r="A111" s="12" t="s">
        <v>258</v>
      </c>
      <c r="B111" s="12" t="s">
        <v>22</v>
      </c>
      <c r="C111" s="12" t="s">
        <v>259</v>
      </c>
      <c r="D111" s="12" t="s">
        <v>20</v>
      </c>
      <c r="E111" s="12" t="s">
        <v>69</v>
      </c>
      <c r="F111" s="12"/>
    </row>
    <row r="112" customFormat="false" ht="15" hidden="false" customHeight="false" outlineLevel="0" collapsed="false">
      <c r="A112" s="12" t="s">
        <v>260</v>
      </c>
      <c r="B112" s="12" t="s">
        <v>22</v>
      </c>
      <c r="C112" s="12" t="s">
        <v>261</v>
      </c>
      <c r="D112" s="12" t="s">
        <v>20</v>
      </c>
      <c r="E112" s="12" t="s">
        <v>69</v>
      </c>
      <c r="F112" s="12"/>
    </row>
    <row r="113" customFormat="false" ht="15" hidden="false" customHeight="false" outlineLevel="0" collapsed="false">
      <c r="A113" s="12" t="s">
        <v>262</v>
      </c>
      <c r="B113" s="12" t="s">
        <v>22</v>
      </c>
      <c r="C113" s="12" t="s">
        <v>263</v>
      </c>
      <c r="D113" s="12" t="s">
        <v>20</v>
      </c>
      <c r="E113" s="12" t="s">
        <v>69</v>
      </c>
      <c r="F113" s="12"/>
    </row>
    <row r="114" customFormat="false" ht="15" hidden="false" customHeight="false" outlineLevel="0" collapsed="false">
      <c r="A114" s="12" t="s">
        <v>264</v>
      </c>
      <c r="B114" s="12" t="s">
        <v>22</v>
      </c>
      <c r="C114" s="12" t="s">
        <v>265</v>
      </c>
      <c r="D114" s="12" t="s">
        <v>20</v>
      </c>
      <c r="E114" s="12" t="s">
        <v>69</v>
      </c>
      <c r="F114" s="12"/>
    </row>
    <row r="115" customFormat="false" ht="15" hidden="false" customHeight="false" outlineLevel="0" collapsed="false">
      <c r="A115" s="13" t="s">
        <v>266</v>
      </c>
      <c r="B115" s="13" t="s">
        <v>23</v>
      </c>
      <c r="C115" s="13" t="s">
        <v>267</v>
      </c>
      <c r="D115" s="13" t="s">
        <v>20</v>
      </c>
      <c r="E115" s="13" t="s">
        <v>69</v>
      </c>
      <c r="F115" s="13"/>
    </row>
    <row r="116" customFormat="false" ht="15" hidden="false" customHeight="false" outlineLevel="0" collapsed="false">
      <c r="A116" s="13" t="s">
        <v>268</v>
      </c>
      <c r="B116" s="13" t="s">
        <v>23</v>
      </c>
      <c r="C116" s="13" t="s">
        <v>269</v>
      </c>
      <c r="D116" s="13" t="s">
        <v>20</v>
      </c>
      <c r="E116" s="13" t="s">
        <v>69</v>
      </c>
      <c r="F116" s="13"/>
    </row>
    <row r="117" customFormat="false" ht="15" hidden="false" customHeight="false" outlineLevel="0" collapsed="false">
      <c r="A117" s="13" t="s">
        <v>270</v>
      </c>
      <c r="B117" s="13" t="s">
        <v>23</v>
      </c>
      <c r="C117" s="13" t="s">
        <v>271</v>
      </c>
      <c r="D117" s="13" t="s">
        <v>20</v>
      </c>
      <c r="E117" s="13" t="s">
        <v>69</v>
      </c>
      <c r="F117" s="13"/>
    </row>
    <row r="118" customFormat="false" ht="15" hidden="false" customHeight="false" outlineLevel="0" collapsed="false">
      <c r="A118" s="13" t="s">
        <v>272</v>
      </c>
      <c r="B118" s="13" t="s">
        <v>23</v>
      </c>
      <c r="C118" s="13" t="s">
        <v>273</v>
      </c>
      <c r="D118" s="13" t="s">
        <v>20</v>
      </c>
      <c r="E118" s="13" t="s">
        <v>69</v>
      </c>
      <c r="F118" s="13"/>
    </row>
    <row r="119" customFormat="false" ht="15" hidden="false" customHeight="false" outlineLevel="0" collapsed="false">
      <c r="A119" s="13" t="s">
        <v>274</v>
      </c>
      <c r="B119" s="13" t="s">
        <v>23</v>
      </c>
      <c r="C119" s="13" t="s">
        <v>275</v>
      </c>
      <c r="D119" s="13" t="s">
        <v>20</v>
      </c>
      <c r="E119" s="13" t="s">
        <v>69</v>
      </c>
      <c r="F119" s="13"/>
    </row>
    <row r="120" customFormat="false" ht="15" hidden="false" customHeight="false" outlineLevel="0" collapsed="false">
      <c r="A120" s="13" t="s">
        <v>276</v>
      </c>
      <c r="B120" s="13" t="s">
        <v>23</v>
      </c>
      <c r="C120" s="13" t="s">
        <v>277</v>
      </c>
      <c r="D120" s="13" t="s">
        <v>20</v>
      </c>
      <c r="E120" s="13" t="s">
        <v>69</v>
      </c>
      <c r="F120" s="13"/>
    </row>
    <row r="121" customFormat="false" ht="15" hidden="false" customHeight="false" outlineLevel="0" collapsed="false">
      <c r="A121" s="13" t="s">
        <v>278</v>
      </c>
      <c r="B121" s="13" t="s">
        <v>23</v>
      </c>
      <c r="C121" s="13" t="s">
        <v>279</v>
      </c>
      <c r="D121" s="13" t="s">
        <v>20</v>
      </c>
      <c r="E121" s="13" t="s">
        <v>69</v>
      </c>
      <c r="F121" s="13"/>
    </row>
    <row r="122" customFormat="false" ht="15" hidden="false" customHeight="false" outlineLevel="0" collapsed="false">
      <c r="A122" s="13" t="s">
        <v>280</v>
      </c>
      <c r="B122" s="13" t="s">
        <v>23</v>
      </c>
      <c r="C122" s="13" t="s">
        <v>281</v>
      </c>
      <c r="D122" s="13" t="s">
        <v>20</v>
      </c>
      <c r="E122" s="13" t="s">
        <v>69</v>
      </c>
      <c r="F122" s="13"/>
    </row>
    <row r="123" customFormat="false" ht="15" hidden="false" customHeight="false" outlineLevel="0" collapsed="false">
      <c r="A123" s="12" t="s">
        <v>282</v>
      </c>
      <c r="B123" s="12" t="s">
        <v>24</v>
      </c>
      <c r="C123" s="12" t="s">
        <v>283</v>
      </c>
      <c r="D123" s="12" t="s">
        <v>20</v>
      </c>
      <c r="E123" s="12" t="s">
        <v>69</v>
      </c>
      <c r="F123" s="12"/>
    </row>
    <row r="124" customFormat="false" ht="15" hidden="false" customHeight="false" outlineLevel="0" collapsed="false">
      <c r="A124" s="12" t="s">
        <v>284</v>
      </c>
      <c r="B124" s="12" t="s">
        <v>24</v>
      </c>
      <c r="C124" s="12" t="s">
        <v>285</v>
      </c>
      <c r="D124" s="12" t="s">
        <v>20</v>
      </c>
      <c r="E124" s="12" t="s">
        <v>69</v>
      </c>
      <c r="F124" s="12"/>
    </row>
    <row r="125" customFormat="false" ht="15" hidden="false" customHeight="false" outlineLevel="0" collapsed="false">
      <c r="A125" s="12" t="s">
        <v>286</v>
      </c>
      <c r="B125" s="12" t="s">
        <v>24</v>
      </c>
      <c r="C125" s="12" t="s">
        <v>287</v>
      </c>
      <c r="D125" s="12" t="s">
        <v>20</v>
      </c>
      <c r="E125" s="12" t="s">
        <v>69</v>
      </c>
      <c r="F125" s="12"/>
    </row>
    <row r="126" customFormat="false" ht="15" hidden="false" customHeight="false" outlineLevel="0" collapsed="false">
      <c r="A126" s="12" t="s">
        <v>288</v>
      </c>
      <c r="B126" s="12" t="s">
        <v>24</v>
      </c>
      <c r="C126" s="12" t="s">
        <v>289</v>
      </c>
      <c r="D126" s="12" t="s">
        <v>20</v>
      </c>
      <c r="E126" s="12" t="s">
        <v>69</v>
      </c>
      <c r="F126" s="12"/>
    </row>
    <row r="127" customFormat="false" ht="15" hidden="false" customHeight="false" outlineLevel="0" collapsed="false">
      <c r="A127" s="12" t="s">
        <v>290</v>
      </c>
      <c r="B127" s="12" t="s">
        <v>24</v>
      </c>
      <c r="C127" s="12" t="s">
        <v>291</v>
      </c>
      <c r="D127" s="12" t="s">
        <v>20</v>
      </c>
      <c r="E127" s="12" t="s">
        <v>69</v>
      </c>
      <c r="F127" s="12"/>
    </row>
    <row r="128" customFormat="false" ht="15" hidden="false" customHeight="false" outlineLevel="0" collapsed="false">
      <c r="A128" s="12" t="s">
        <v>292</v>
      </c>
      <c r="B128" s="12" t="s">
        <v>24</v>
      </c>
      <c r="C128" s="12" t="s">
        <v>293</v>
      </c>
      <c r="D128" s="12" t="s">
        <v>20</v>
      </c>
      <c r="E128" s="12" t="s">
        <v>69</v>
      </c>
      <c r="F128" s="12"/>
    </row>
    <row r="129" customFormat="false" ht="15" hidden="false" customHeight="false" outlineLevel="0" collapsed="false">
      <c r="A129" s="12" t="s">
        <v>294</v>
      </c>
      <c r="B129" s="12" t="s">
        <v>24</v>
      </c>
      <c r="C129" s="12" t="s">
        <v>295</v>
      </c>
      <c r="D129" s="12" t="s">
        <v>20</v>
      </c>
      <c r="E129" s="12" t="s">
        <v>69</v>
      </c>
      <c r="F129" s="12"/>
    </row>
    <row r="130" customFormat="false" ht="15" hidden="false" customHeight="false" outlineLevel="0" collapsed="false">
      <c r="A130" s="12" t="s">
        <v>296</v>
      </c>
      <c r="B130" s="12" t="s">
        <v>24</v>
      </c>
      <c r="C130" s="12" t="s">
        <v>297</v>
      </c>
      <c r="D130" s="12" t="s">
        <v>20</v>
      </c>
      <c r="E130" s="12" t="s">
        <v>69</v>
      </c>
      <c r="F130" s="12"/>
    </row>
    <row r="131" customFormat="false" ht="15" hidden="false" customHeight="false" outlineLevel="0" collapsed="false">
      <c r="A131" s="12" t="s">
        <v>298</v>
      </c>
      <c r="B131" s="12" t="s">
        <v>24</v>
      </c>
      <c r="C131" s="12" t="s">
        <v>299</v>
      </c>
      <c r="D131" s="12" t="s">
        <v>20</v>
      </c>
      <c r="E131" s="12" t="s">
        <v>69</v>
      </c>
      <c r="F131" s="12"/>
    </row>
    <row r="132" customFormat="false" ht="15" hidden="false" customHeight="false" outlineLevel="0" collapsed="false">
      <c r="A132" s="12" t="s">
        <v>300</v>
      </c>
      <c r="B132" s="12" t="s">
        <v>24</v>
      </c>
      <c r="C132" s="12" t="s">
        <v>301</v>
      </c>
      <c r="D132" s="12" t="s">
        <v>20</v>
      </c>
      <c r="E132" s="12" t="s">
        <v>69</v>
      </c>
      <c r="F132" s="12"/>
    </row>
    <row r="133" customFormat="false" ht="15" hidden="false" customHeight="false" outlineLevel="0" collapsed="false">
      <c r="A133" s="14" t="s">
        <v>302</v>
      </c>
      <c r="B133" s="14" t="s">
        <v>24</v>
      </c>
      <c r="C133" s="14" t="s">
        <v>303</v>
      </c>
      <c r="D133" s="14" t="s">
        <v>20</v>
      </c>
      <c r="E133" s="14" t="s">
        <v>105</v>
      </c>
      <c r="F133" s="14"/>
    </row>
    <row r="134" customFormat="false" ht="15" hidden="false" customHeight="false" outlineLevel="0" collapsed="false">
      <c r="A134" s="14" t="s">
        <v>304</v>
      </c>
      <c r="B134" s="14" t="s">
        <v>24</v>
      </c>
      <c r="C134" s="14" t="s">
        <v>305</v>
      </c>
      <c r="D134" s="14" t="s">
        <v>20</v>
      </c>
      <c r="E134" s="14" t="s">
        <v>105</v>
      </c>
      <c r="F134" s="14"/>
    </row>
    <row r="135" customFormat="false" ht="15" hidden="false" customHeight="false" outlineLevel="0" collapsed="false">
      <c r="A135" s="14" t="s">
        <v>306</v>
      </c>
      <c r="B135" s="14" t="s">
        <v>24</v>
      </c>
      <c r="C135" s="14" t="s">
        <v>307</v>
      </c>
      <c r="D135" s="14" t="s">
        <v>20</v>
      </c>
      <c r="E135" s="14" t="s">
        <v>105</v>
      </c>
      <c r="F135" s="14"/>
    </row>
    <row r="136" customFormat="false" ht="15" hidden="false" customHeight="false" outlineLevel="0" collapsed="false">
      <c r="A136" s="13" t="s">
        <v>308</v>
      </c>
      <c r="B136" s="13" t="s">
        <v>25</v>
      </c>
      <c r="C136" s="13" t="s">
        <v>309</v>
      </c>
      <c r="D136" s="13" t="s">
        <v>26</v>
      </c>
      <c r="E136" s="13" t="s">
        <v>69</v>
      </c>
      <c r="F136" s="13"/>
    </row>
    <row r="137" customFormat="false" ht="15" hidden="false" customHeight="false" outlineLevel="0" collapsed="false">
      <c r="A137" s="13" t="s">
        <v>310</v>
      </c>
      <c r="B137" s="13" t="s">
        <v>25</v>
      </c>
      <c r="C137" s="13" t="s">
        <v>311</v>
      </c>
      <c r="D137" s="13" t="s">
        <v>26</v>
      </c>
      <c r="E137" s="13" t="s">
        <v>69</v>
      </c>
      <c r="F137" s="13"/>
    </row>
    <row r="138" customFormat="false" ht="15" hidden="false" customHeight="false" outlineLevel="0" collapsed="false">
      <c r="A138" s="13" t="s">
        <v>312</v>
      </c>
      <c r="B138" s="13" t="s">
        <v>25</v>
      </c>
      <c r="C138" s="13" t="s">
        <v>313</v>
      </c>
      <c r="D138" s="13" t="s">
        <v>26</v>
      </c>
      <c r="E138" s="13" t="s">
        <v>69</v>
      </c>
      <c r="F138" s="13"/>
    </row>
    <row r="139" customFormat="false" ht="15" hidden="false" customHeight="false" outlineLevel="0" collapsed="false">
      <c r="A139" s="13" t="s">
        <v>314</v>
      </c>
      <c r="B139" s="13" t="s">
        <v>25</v>
      </c>
      <c r="C139" s="13" t="s">
        <v>315</v>
      </c>
      <c r="D139" s="13" t="s">
        <v>26</v>
      </c>
      <c r="E139" s="13" t="s">
        <v>69</v>
      </c>
      <c r="F139" s="13"/>
    </row>
    <row r="140" customFormat="false" ht="15" hidden="false" customHeight="false" outlineLevel="0" collapsed="false">
      <c r="A140" s="13" t="s">
        <v>316</v>
      </c>
      <c r="B140" s="13" t="s">
        <v>25</v>
      </c>
      <c r="C140" s="13" t="s">
        <v>317</v>
      </c>
      <c r="D140" s="13" t="s">
        <v>26</v>
      </c>
      <c r="E140" s="13" t="s">
        <v>69</v>
      </c>
      <c r="F140" s="13"/>
    </row>
    <row r="141" customFormat="false" ht="15" hidden="false" customHeight="false" outlineLevel="0" collapsed="false">
      <c r="A141" s="13" t="s">
        <v>318</v>
      </c>
      <c r="B141" s="13" t="s">
        <v>25</v>
      </c>
      <c r="C141" s="13" t="s">
        <v>319</v>
      </c>
      <c r="D141" s="13" t="s">
        <v>26</v>
      </c>
      <c r="E141" s="13" t="s">
        <v>69</v>
      </c>
      <c r="F141" s="13"/>
    </row>
    <row r="142" customFormat="false" ht="15" hidden="false" customHeight="false" outlineLevel="0" collapsed="false">
      <c r="A142" s="13" t="s">
        <v>320</v>
      </c>
      <c r="B142" s="13" t="s">
        <v>25</v>
      </c>
      <c r="C142" s="13" t="s">
        <v>141</v>
      </c>
      <c r="D142" s="13" t="s">
        <v>26</v>
      </c>
      <c r="E142" s="13" t="s">
        <v>69</v>
      </c>
      <c r="F142" s="13"/>
    </row>
    <row r="143" customFormat="false" ht="15" hidden="false" customHeight="false" outlineLevel="0" collapsed="false">
      <c r="A143" s="13" t="s">
        <v>321</v>
      </c>
      <c r="B143" s="13" t="s">
        <v>25</v>
      </c>
      <c r="C143" s="13" t="s">
        <v>322</v>
      </c>
      <c r="D143" s="13" t="s">
        <v>26</v>
      </c>
      <c r="E143" s="13" t="s">
        <v>69</v>
      </c>
      <c r="F143" s="13"/>
    </row>
    <row r="144" customFormat="false" ht="15" hidden="false" customHeight="false" outlineLevel="0" collapsed="false">
      <c r="A144" s="13" t="s">
        <v>323</v>
      </c>
      <c r="B144" s="13" t="s">
        <v>25</v>
      </c>
      <c r="C144" s="13" t="s">
        <v>324</v>
      </c>
      <c r="D144" s="13" t="s">
        <v>26</v>
      </c>
      <c r="E144" s="13" t="s">
        <v>69</v>
      </c>
      <c r="F144" s="13"/>
    </row>
    <row r="145" customFormat="false" ht="15" hidden="false" customHeight="false" outlineLevel="0" collapsed="false">
      <c r="A145" s="13" t="s">
        <v>325</v>
      </c>
      <c r="B145" s="13" t="s">
        <v>25</v>
      </c>
      <c r="C145" s="13" t="s">
        <v>326</v>
      </c>
      <c r="D145" s="13" t="s">
        <v>26</v>
      </c>
      <c r="E145" s="13" t="s">
        <v>69</v>
      </c>
      <c r="F145" s="13"/>
    </row>
    <row r="146" customFormat="false" ht="15" hidden="false" customHeight="false" outlineLevel="0" collapsed="false">
      <c r="A146" s="13" t="s">
        <v>327</v>
      </c>
      <c r="B146" s="13" t="s">
        <v>25</v>
      </c>
      <c r="C146" s="13" t="s">
        <v>328</v>
      </c>
      <c r="D146" s="13" t="s">
        <v>26</v>
      </c>
      <c r="E146" s="13" t="s">
        <v>69</v>
      </c>
      <c r="F146" s="13"/>
    </row>
    <row r="147" customFormat="false" ht="15" hidden="false" customHeight="false" outlineLevel="0" collapsed="false">
      <c r="A147" s="12" t="s">
        <v>329</v>
      </c>
      <c r="B147" s="12" t="s">
        <v>27</v>
      </c>
      <c r="C147" s="12" t="s">
        <v>330</v>
      </c>
      <c r="D147" s="12" t="s">
        <v>14</v>
      </c>
      <c r="E147" s="12" t="s">
        <v>69</v>
      </c>
      <c r="F147" s="12"/>
    </row>
    <row r="148" customFormat="false" ht="15" hidden="false" customHeight="false" outlineLevel="0" collapsed="false">
      <c r="A148" s="12" t="s">
        <v>331</v>
      </c>
      <c r="B148" s="12" t="s">
        <v>27</v>
      </c>
      <c r="C148" s="12" t="s">
        <v>332</v>
      </c>
      <c r="D148" s="12" t="s">
        <v>14</v>
      </c>
      <c r="E148" s="12" t="s">
        <v>69</v>
      </c>
      <c r="F148" s="12"/>
    </row>
    <row r="149" customFormat="false" ht="15" hidden="false" customHeight="false" outlineLevel="0" collapsed="false">
      <c r="A149" s="12" t="s">
        <v>333</v>
      </c>
      <c r="B149" s="12" t="s">
        <v>27</v>
      </c>
      <c r="C149" s="12" t="s">
        <v>334</v>
      </c>
      <c r="D149" s="12" t="s">
        <v>14</v>
      </c>
      <c r="E149" s="12" t="s">
        <v>69</v>
      </c>
      <c r="F149" s="12"/>
    </row>
    <row r="150" customFormat="false" ht="15" hidden="false" customHeight="false" outlineLevel="0" collapsed="false">
      <c r="A150" s="12" t="s">
        <v>335</v>
      </c>
      <c r="B150" s="12" t="s">
        <v>27</v>
      </c>
      <c r="C150" s="12" t="s">
        <v>336</v>
      </c>
      <c r="D150" s="12" t="s">
        <v>14</v>
      </c>
      <c r="E150" s="12" t="s">
        <v>69</v>
      </c>
      <c r="F150" s="12"/>
    </row>
    <row r="151" customFormat="false" ht="15" hidden="false" customHeight="false" outlineLevel="0" collapsed="false">
      <c r="A151" s="12" t="s">
        <v>337</v>
      </c>
      <c r="B151" s="12" t="s">
        <v>27</v>
      </c>
      <c r="C151" s="12" t="s">
        <v>338</v>
      </c>
      <c r="D151" s="12" t="s">
        <v>14</v>
      </c>
      <c r="E151" s="12" t="s">
        <v>69</v>
      </c>
      <c r="F151" s="12"/>
    </row>
    <row r="152" customFormat="false" ht="15" hidden="false" customHeight="false" outlineLevel="0" collapsed="false">
      <c r="A152" s="12" t="s">
        <v>339</v>
      </c>
      <c r="B152" s="12" t="s">
        <v>27</v>
      </c>
      <c r="C152" s="12" t="s">
        <v>340</v>
      </c>
      <c r="D152" s="12" t="s">
        <v>14</v>
      </c>
      <c r="E152" s="12" t="s">
        <v>69</v>
      </c>
      <c r="F152" s="12"/>
    </row>
    <row r="153" customFormat="false" ht="15" hidden="false" customHeight="false" outlineLevel="0" collapsed="false">
      <c r="A153" s="12" t="s">
        <v>341</v>
      </c>
      <c r="B153" s="12" t="s">
        <v>27</v>
      </c>
      <c r="C153" s="12" t="s">
        <v>342</v>
      </c>
      <c r="D153" s="12" t="s">
        <v>14</v>
      </c>
      <c r="E153" s="12" t="s">
        <v>69</v>
      </c>
      <c r="F153" s="12"/>
    </row>
    <row r="154" customFormat="false" ht="15" hidden="false" customHeight="false" outlineLevel="0" collapsed="false">
      <c r="A154" s="12" t="s">
        <v>343</v>
      </c>
      <c r="B154" s="12" t="s">
        <v>27</v>
      </c>
      <c r="C154" s="12" t="s">
        <v>344</v>
      </c>
      <c r="D154" s="12" t="s">
        <v>14</v>
      </c>
      <c r="E154" s="12" t="s">
        <v>69</v>
      </c>
      <c r="F154" s="12"/>
    </row>
    <row r="155" customFormat="false" ht="15" hidden="false" customHeight="false" outlineLevel="0" collapsed="false">
      <c r="A155" s="13" t="s">
        <v>345</v>
      </c>
      <c r="B155" s="13" t="s">
        <v>28</v>
      </c>
      <c r="C155" s="13" t="s">
        <v>346</v>
      </c>
      <c r="D155" s="13" t="s">
        <v>26</v>
      </c>
      <c r="E155" s="13" t="s">
        <v>69</v>
      </c>
      <c r="F155" s="13" t="s">
        <v>347</v>
      </c>
    </row>
    <row r="156" customFormat="false" ht="15" hidden="false" customHeight="false" outlineLevel="0" collapsed="false">
      <c r="A156" s="13" t="s">
        <v>348</v>
      </c>
      <c r="B156" s="13" t="s">
        <v>28</v>
      </c>
      <c r="C156" s="13" t="s">
        <v>349</v>
      </c>
      <c r="D156" s="13" t="s">
        <v>26</v>
      </c>
      <c r="E156" s="13" t="s">
        <v>69</v>
      </c>
      <c r="F156" s="13"/>
    </row>
    <row r="157" customFormat="false" ht="15" hidden="false" customHeight="false" outlineLevel="0" collapsed="false">
      <c r="A157" s="13" t="s">
        <v>350</v>
      </c>
      <c r="B157" s="13" t="s">
        <v>28</v>
      </c>
      <c r="C157" s="13" t="s">
        <v>351</v>
      </c>
      <c r="D157" s="13" t="s">
        <v>26</v>
      </c>
      <c r="E157" s="13" t="s">
        <v>69</v>
      </c>
      <c r="F157" s="13"/>
    </row>
    <row r="158" customFormat="false" ht="15" hidden="false" customHeight="false" outlineLevel="0" collapsed="false">
      <c r="A158" s="13" t="s">
        <v>352</v>
      </c>
      <c r="B158" s="13" t="s">
        <v>28</v>
      </c>
      <c r="C158" s="13" t="s">
        <v>353</v>
      </c>
      <c r="D158" s="13" t="s">
        <v>26</v>
      </c>
      <c r="E158" s="13" t="s">
        <v>69</v>
      </c>
      <c r="F158" s="13"/>
    </row>
    <row r="159" customFormat="false" ht="15" hidden="false" customHeight="false" outlineLevel="0" collapsed="false">
      <c r="A159" s="13" t="s">
        <v>354</v>
      </c>
      <c r="B159" s="13" t="s">
        <v>28</v>
      </c>
      <c r="C159" s="13" t="s">
        <v>355</v>
      </c>
      <c r="D159" s="13" t="s">
        <v>26</v>
      </c>
      <c r="E159" s="13" t="s">
        <v>69</v>
      </c>
      <c r="F159" s="13"/>
    </row>
    <row r="160" customFormat="false" ht="15" hidden="false" customHeight="false" outlineLevel="0" collapsed="false">
      <c r="A160" s="13" t="s">
        <v>356</v>
      </c>
      <c r="B160" s="13" t="s">
        <v>28</v>
      </c>
      <c r="C160" s="13" t="s">
        <v>357</v>
      </c>
      <c r="D160" s="13" t="s">
        <v>26</v>
      </c>
      <c r="E160" s="13" t="s">
        <v>69</v>
      </c>
      <c r="F160" s="13"/>
    </row>
    <row r="161" customFormat="false" ht="15" hidden="false" customHeight="false" outlineLevel="0" collapsed="false">
      <c r="A161" s="13" t="s">
        <v>358</v>
      </c>
      <c r="B161" s="13" t="s">
        <v>28</v>
      </c>
      <c r="C161" s="13" t="s">
        <v>359</v>
      </c>
      <c r="D161" s="13" t="s">
        <v>26</v>
      </c>
      <c r="E161" s="13" t="s">
        <v>69</v>
      </c>
      <c r="F161" s="13"/>
    </row>
    <row r="162" customFormat="false" ht="15" hidden="false" customHeight="false" outlineLevel="0" collapsed="false">
      <c r="A162" s="13" t="s">
        <v>360</v>
      </c>
      <c r="B162" s="13" t="s">
        <v>28</v>
      </c>
      <c r="C162" s="13" t="s">
        <v>361</v>
      </c>
      <c r="D162" s="13" t="s">
        <v>26</v>
      </c>
      <c r="E162" s="13" t="s">
        <v>69</v>
      </c>
      <c r="F162" s="13"/>
    </row>
    <row r="163" customFormat="false" ht="15" hidden="false" customHeight="false" outlineLevel="0" collapsed="false">
      <c r="A163" s="13" t="s">
        <v>362</v>
      </c>
      <c r="B163" s="13" t="s">
        <v>28</v>
      </c>
      <c r="C163" s="13" t="s">
        <v>363</v>
      </c>
      <c r="D163" s="13" t="s">
        <v>26</v>
      </c>
      <c r="E163" s="13" t="s">
        <v>69</v>
      </c>
      <c r="F163" s="13"/>
    </row>
    <row r="164" customFormat="false" ht="15" hidden="false" customHeight="false" outlineLevel="0" collapsed="false">
      <c r="A164" s="12" t="s">
        <v>364</v>
      </c>
      <c r="B164" s="12" t="s">
        <v>29</v>
      </c>
      <c r="C164" s="12" t="s">
        <v>365</v>
      </c>
      <c r="D164" s="12" t="s">
        <v>26</v>
      </c>
      <c r="E164" s="12" t="s">
        <v>69</v>
      </c>
      <c r="F164" s="12"/>
    </row>
    <row r="165" customFormat="false" ht="15" hidden="false" customHeight="false" outlineLevel="0" collapsed="false">
      <c r="A165" s="12" t="s">
        <v>366</v>
      </c>
      <c r="B165" s="12" t="s">
        <v>29</v>
      </c>
      <c r="C165" s="12" t="s">
        <v>367</v>
      </c>
      <c r="D165" s="12" t="s">
        <v>26</v>
      </c>
      <c r="E165" s="12" t="s">
        <v>69</v>
      </c>
      <c r="F165" s="12"/>
    </row>
    <row r="166" customFormat="false" ht="15" hidden="false" customHeight="false" outlineLevel="0" collapsed="false">
      <c r="A166" s="12" t="s">
        <v>368</v>
      </c>
      <c r="B166" s="12" t="s">
        <v>29</v>
      </c>
      <c r="C166" s="12" t="s">
        <v>369</v>
      </c>
      <c r="D166" s="12" t="s">
        <v>26</v>
      </c>
      <c r="E166" s="12" t="s">
        <v>69</v>
      </c>
      <c r="F166" s="12"/>
    </row>
    <row r="167" customFormat="false" ht="15" hidden="false" customHeight="false" outlineLevel="0" collapsed="false">
      <c r="A167" s="12" t="s">
        <v>370</v>
      </c>
      <c r="B167" s="12" t="s">
        <v>29</v>
      </c>
      <c r="C167" s="12" t="s">
        <v>371</v>
      </c>
      <c r="D167" s="12" t="s">
        <v>26</v>
      </c>
      <c r="E167" s="12" t="s">
        <v>69</v>
      </c>
      <c r="F167" s="12"/>
    </row>
    <row r="168" customFormat="false" ht="15" hidden="false" customHeight="false" outlineLevel="0" collapsed="false">
      <c r="A168" s="12" t="s">
        <v>372</v>
      </c>
      <c r="B168" s="12" t="s">
        <v>29</v>
      </c>
      <c r="C168" s="12" t="s">
        <v>373</v>
      </c>
      <c r="D168" s="12" t="s">
        <v>26</v>
      </c>
      <c r="E168" s="12" t="s">
        <v>69</v>
      </c>
      <c r="F168" s="12"/>
    </row>
    <row r="169" customFormat="false" ht="15" hidden="false" customHeight="false" outlineLevel="0" collapsed="false">
      <c r="A169" s="12" t="s">
        <v>374</v>
      </c>
      <c r="B169" s="12" t="s">
        <v>29</v>
      </c>
      <c r="C169" s="12" t="s">
        <v>375</v>
      </c>
      <c r="D169" s="12" t="s">
        <v>26</v>
      </c>
      <c r="E169" s="12" t="s">
        <v>69</v>
      </c>
      <c r="F169" s="12"/>
    </row>
    <row r="170" customFormat="false" ht="15" hidden="false" customHeight="false" outlineLevel="0" collapsed="false">
      <c r="A170" s="12" t="s">
        <v>376</v>
      </c>
      <c r="B170" s="12" t="s">
        <v>29</v>
      </c>
      <c r="C170" s="12" t="s">
        <v>377</v>
      </c>
      <c r="D170" s="12" t="s">
        <v>26</v>
      </c>
      <c r="E170" s="12" t="s">
        <v>69</v>
      </c>
      <c r="F170" s="12"/>
    </row>
    <row r="171" customFormat="false" ht="15" hidden="false" customHeight="false" outlineLevel="0" collapsed="false">
      <c r="A171" s="12" t="s">
        <v>378</v>
      </c>
      <c r="B171" s="12" t="s">
        <v>29</v>
      </c>
      <c r="C171" s="12" t="s">
        <v>379</v>
      </c>
      <c r="D171" s="12" t="s">
        <v>26</v>
      </c>
      <c r="E171" s="12" t="s">
        <v>69</v>
      </c>
      <c r="F171" s="12"/>
    </row>
    <row r="172" customFormat="false" ht="15" hidden="false" customHeight="false" outlineLevel="0" collapsed="false">
      <c r="A172" s="12" t="s">
        <v>380</v>
      </c>
      <c r="B172" s="12" t="s">
        <v>29</v>
      </c>
      <c r="C172" s="12" t="s">
        <v>381</v>
      </c>
      <c r="D172" s="12" t="s">
        <v>26</v>
      </c>
      <c r="E172" s="12" t="s">
        <v>69</v>
      </c>
      <c r="F172" s="12"/>
    </row>
    <row r="173" customFormat="false" ht="15" hidden="false" customHeight="false" outlineLevel="0" collapsed="false">
      <c r="A173" s="12" t="s">
        <v>382</v>
      </c>
      <c r="B173" s="12" t="s">
        <v>29</v>
      </c>
      <c r="C173" s="12" t="s">
        <v>383</v>
      </c>
      <c r="D173" s="12" t="s">
        <v>26</v>
      </c>
      <c r="E173" s="12" t="s">
        <v>69</v>
      </c>
      <c r="F173" s="12"/>
    </row>
  </sheetData>
  <autoFilter ref="A1:F17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70"/>
    <col collapsed="false" customWidth="true" hidden="false" outlineLevel="0" max="3" min="3" style="0" width="40"/>
  </cols>
  <sheetData>
    <row r="1" customFormat="false" ht="30" hidden="false" customHeight="true" outlineLevel="0" collapsed="false">
      <c r="A1" s="1" t="s">
        <v>2</v>
      </c>
      <c r="B1" s="1" t="s">
        <v>384</v>
      </c>
      <c r="C1" s="1" t="s">
        <v>385</v>
      </c>
    </row>
    <row r="2" customFormat="false" ht="23.85" hidden="false" customHeight="false" outlineLevel="0" collapsed="false">
      <c r="A2" s="15" t="s">
        <v>10</v>
      </c>
      <c r="B2" s="15" t="s">
        <v>386</v>
      </c>
      <c r="C2" s="15" t="s">
        <v>387</v>
      </c>
    </row>
    <row r="3" customFormat="false" ht="23.85" hidden="false" customHeight="false" outlineLevel="0" collapsed="false">
      <c r="A3" s="15" t="s">
        <v>14</v>
      </c>
      <c r="B3" s="15" t="s">
        <v>388</v>
      </c>
      <c r="C3" s="15" t="s">
        <v>389</v>
      </c>
    </row>
    <row r="4" customFormat="false" ht="23.85" hidden="false" customHeight="false" outlineLevel="0" collapsed="false">
      <c r="A4" s="15" t="s">
        <v>20</v>
      </c>
      <c r="B4" s="15" t="s">
        <v>390</v>
      </c>
      <c r="C4" s="15" t="s">
        <v>391</v>
      </c>
    </row>
    <row r="5" customFormat="false" ht="15" hidden="false" customHeight="false" outlineLevel="0" collapsed="false">
      <c r="A5" s="15" t="s">
        <v>26</v>
      </c>
      <c r="B5" s="15" t="s">
        <v>392</v>
      </c>
      <c r="C5" s="15" t="s">
        <v>393</v>
      </c>
    </row>
    <row r="7" customFormat="false" ht="15" hidden="false" customHeight="false" outlineLevel="0" collapsed="false">
      <c r="A7" s="11" t="s">
        <v>394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0"/>
  </cols>
  <sheetData>
    <row r="1" customFormat="false" ht="30" hidden="false" customHeight="true" outlineLevel="0" collapsed="false">
      <c r="A1" s="1" t="s">
        <v>395</v>
      </c>
      <c r="B1" s="1" t="s">
        <v>396</v>
      </c>
    </row>
    <row r="2" customFormat="false" ht="15" hidden="false" customHeight="false" outlineLevel="0" collapsed="false">
      <c r="A2" s="12" t="s">
        <v>397</v>
      </c>
      <c r="B2" s="12" t="s">
        <v>398</v>
      </c>
    </row>
    <row r="3" customFormat="false" ht="15" hidden="false" customHeight="false" outlineLevel="0" collapsed="false">
      <c r="A3" s="12" t="s">
        <v>399</v>
      </c>
      <c r="B3" s="12" t="s">
        <v>400</v>
      </c>
    </row>
    <row r="4" customFormat="false" ht="15" hidden="false" customHeight="false" outlineLevel="0" collapsed="false">
      <c r="A4" s="12" t="s">
        <v>401</v>
      </c>
      <c r="B4" s="12" t="s">
        <v>402</v>
      </c>
    </row>
    <row r="5" customFormat="false" ht="15" hidden="false" customHeight="false" outlineLevel="0" collapsed="false">
      <c r="A5" s="12" t="s">
        <v>403</v>
      </c>
      <c r="B5" s="12" t="s">
        <v>404</v>
      </c>
    </row>
    <row r="6" customFormat="false" ht="15" hidden="false" customHeight="false" outlineLevel="0" collapsed="false">
      <c r="A6" s="12" t="s">
        <v>405</v>
      </c>
      <c r="B6" s="12" t="s">
        <v>406</v>
      </c>
    </row>
    <row r="7" customFormat="false" ht="15" hidden="false" customHeight="false" outlineLevel="0" collapsed="false">
      <c r="A7" s="12" t="s">
        <v>407</v>
      </c>
      <c r="B7" s="12" t="s">
        <v>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0"/>
    <col collapsed="false" customWidth="true" hidden="false" outlineLevel="0" max="3" min="3" style="0" width="34"/>
  </cols>
  <sheetData>
    <row r="1" customFormat="false" ht="30" hidden="false" customHeight="true" outlineLevel="0" collapsed="false">
      <c r="A1" s="1" t="s">
        <v>409</v>
      </c>
      <c r="B1" s="1" t="s">
        <v>410</v>
      </c>
      <c r="C1" s="1" t="s">
        <v>411</v>
      </c>
    </row>
    <row r="2" customFormat="false" ht="23.85" hidden="false" customHeight="false" outlineLevel="0" collapsed="false">
      <c r="A2" s="15" t="s">
        <v>412</v>
      </c>
      <c r="B2" s="15" t="s">
        <v>413</v>
      </c>
      <c r="C2" s="15" t="s">
        <v>414</v>
      </c>
    </row>
    <row r="3" customFormat="false" ht="23.85" hidden="false" customHeight="false" outlineLevel="0" collapsed="false">
      <c r="A3" s="15" t="s">
        <v>415</v>
      </c>
      <c r="B3" s="15" t="s">
        <v>416</v>
      </c>
      <c r="C3" s="15" t="s">
        <v>417</v>
      </c>
    </row>
    <row r="4" customFormat="false" ht="15" hidden="false" customHeight="false" outlineLevel="0" collapsed="false">
      <c r="A4" s="15" t="s">
        <v>418</v>
      </c>
      <c r="B4" s="15" t="s">
        <v>419</v>
      </c>
      <c r="C4" s="15" t="s">
        <v>420</v>
      </c>
    </row>
    <row r="5" customFormat="false" ht="23.85" hidden="false" customHeight="false" outlineLevel="0" collapsed="false">
      <c r="A5" s="15" t="s">
        <v>421</v>
      </c>
      <c r="B5" s="15" t="s">
        <v>422</v>
      </c>
      <c r="C5" s="15" t="s">
        <v>423</v>
      </c>
    </row>
    <row r="6" customFormat="false" ht="23.85" hidden="false" customHeight="false" outlineLevel="0" collapsed="false">
      <c r="A6" s="15" t="s">
        <v>424</v>
      </c>
      <c r="B6" s="15" t="s">
        <v>425</v>
      </c>
      <c r="C6" s="15" t="s">
        <v>426</v>
      </c>
    </row>
    <row r="7" customFormat="false" ht="23.85" hidden="false" customHeight="false" outlineLevel="0" collapsed="false">
      <c r="A7" s="15" t="s">
        <v>427</v>
      </c>
      <c r="B7" s="15" t="s">
        <v>428</v>
      </c>
      <c r="C7" s="15" t="s">
        <v>429</v>
      </c>
    </row>
    <row r="8" customFormat="false" ht="23.85" hidden="false" customHeight="false" outlineLevel="0" collapsed="false">
      <c r="A8" s="15" t="s">
        <v>430</v>
      </c>
      <c r="B8" s="15" t="s">
        <v>431</v>
      </c>
      <c r="C8" s="15" t="s">
        <v>432</v>
      </c>
    </row>
    <row r="9" customFormat="false" ht="15" hidden="false" customHeight="false" outlineLevel="0" collapsed="false">
      <c r="A9" s="15" t="s">
        <v>433</v>
      </c>
      <c r="B9" s="15" t="s">
        <v>434</v>
      </c>
      <c r="C9" s="15" t="s">
        <v>435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2026-10-19T12:55:20Z</dcterms:created>
  <dc:creator>openpyxl</dc:creator>
  <dc:description/>
  <dc:language>en-US</dc:language>
  <cp:lastModifiedBy/>
  <dcterms:modified xsi:type="dcterms:W3CDTF">2026-10-19T12:55:20Z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